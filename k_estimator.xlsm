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1483ab89ca3ebfb/Desktop/NBD_for_Amal/"/>
    </mc:Choice>
  </mc:AlternateContent>
  <xr:revisionPtr revIDLastSave="222" documentId="8_{90580A58-F958-46EB-A15F-D6553488552E}" xr6:coauthVersionLast="47" xr6:coauthVersionMax="47" xr10:uidLastSave="{3BE2F44D-63AD-49D0-932C-8787EDF2B662}"/>
  <bookViews>
    <workbookView xWindow="4440" yWindow="2028" windowWidth="17640" windowHeight="8880" xr2:uid="{00000000-000D-0000-FFFF-FFFF00000000}"/>
  </bookViews>
  <sheets>
    <sheet name="Solve for k" sheetId="1" r:id="rId1"/>
    <sheet name="Explanations" sheetId="2" r:id="rId2"/>
  </sheets>
  <definedNames>
    <definedName name="k">'Solve for k'!$B$5</definedName>
    <definedName name="mu">'Solve for k'!$B$3</definedName>
    <definedName name="P_0">'Solve for k'!$B$4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10" i="1"/>
  <c r="B7" i="1"/>
  <c r="B8" i="1" s="1"/>
  <c r="B11" i="1" l="1"/>
</calcChain>
</file>

<file path=xl/sharedStrings.xml><?xml version="1.0" encoding="utf-8"?>
<sst xmlns="http://schemas.openxmlformats.org/spreadsheetml/2006/main" count="66" uniqueCount="66">
  <si>
    <t>Model P(0) from k, mu</t>
  </si>
  <si>
    <t>Error = Model P(0) - Observed P(0)</t>
  </si>
  <si>
    <t>Penetration (1 - Observed P(0))</t>
  </si>
  <si>
    <t>Model penetration (1 - Model P(0))</t>
  </si>
  <si>
    <t>Predicted variance of purchase counts</t>
  </si>
  <si>
    <t xml:space="preserve">Solve for k </t>
  </si>
  <si>
    <t>1. The Negative Binomial as a “Poisson–Gamma mixture”</t>
  </si>
  <si>
    <r>
      <t xml:space="preserve">The </t>
    </r>
    <r>
      <rPr>
        <b/>
        <sz val="11"/>
        <color theme="1"/>
        <rFont val="Calibri"/>
        <family val="2"/>
        <scheme val="minor"/>
      </rPr>
      <t>Negative Binomial Distribution (NBD)</t>
    </r>
    <r>
      <rPr>
        <sz val="11"/>
        <color theme="1"/>
        <rFont val="Calibri"/>
        <family val="2"/>
        <scheme val="minor"/>
      </rPr>
      <t xml:space="preserve"> is often described as a </t>
    </r>
    <r>
      <rPr>
        <b/>
        <sz val="11"/>
        <color theme="1"/>
        <rFont val="Calibri"/>
        <family val="2"/>
        <scheme val="minor"/>
      </rPr>
      <t>Poisson distribution whose mean varies across people</t>
    </r>
    <r>
      <rPr>
        <sz val="11"/>
        <color theme="1"/>
        <rFont val="Calibri"/>
        <family val="2"/>
        <scheme val="minor"/>
      </rPr>
      <t xml:space="preserve"> according to a </t>
    </r>
    <r>
      <rPr>
        <b/>
        <sz val="11"/>
        <color theme="1"/>
        <rFont val="Calibri"/>
        <family val="2"/>
        <scheme val="minor"/>
      </rPr>
      <t>Gamma distribution</t>
    </r>
    <r>
      <rPr>
        <sz val="11"/>
        <color theme="1"/>
        <rFont val="Calibri"/>
        <family val="2"/>
        <scheme val="minor"/>
      </rPr>
      <t>.</t>
    </r>
  </si>
  <si>
    <r>
      <t xml:space="preserve">Each </t>
    </r>
    <r>
      <rPr>
        <i/>
        <sz val="11"/>
        <color theme="1"/>
        <rFont val="Calibri"/>
        <family val="2"/>
        <scheme val="minor"/>
      </rPr>
      <t>individual consumer</t>
    </r>
    <r>
      <rPr>
        <sz val="11"/>
        <color theme="1"/>
        <rFont val="Calibri"/>
        <family val="2"/>
        <scheme val="minor"/>
      </rPr>
      <t xml:space="preserve"> has their own average purchase rate (say, “expected number of purchases per period”).</t>
    </r>
  </si>
  <si>
    <r>
      <t xml:space="preserve">Across all consumers, these individual rates are </t>
    </r>
    <r>
      <rPr>
        <b/>
        <sz val="11"/>
        <color theme="1"/>
        <rFont val="Calibri"/>
        <family val="2"/>
        <scheme val="minor"/>
      </rPr>
      <t>not identical</t>
    </r>
    <r>
      <rPr>
        <sz val="11"/>
        <color theme="1"/>
        <rFont val="Calibri"/>
        <family val="2"/>
        <scheme val="minor"/>
      </rPr>
      <t xml:space="preserve"> — some people buy a lot, some a little, many not at all.</t>
    </r>
  </si>
  <si>
    <r>
      <t xml:space="preserve">The </t>
    </r>
    <r>
      <rPr>
        <b/>
        <sz val="11"/>
        <color theme="1"/>
        <rFont val="Calibri"/>
        <family val="2"/>
        <scheme val="minor"/>
      </rPr>
      <t>Gamma distribution</t>
    </r>
    <r>
      <rPr>
        <sz val="11"/>
        <color theme="1"/>
        <rFont val="Calibri"/>
        <family val="2"/>
        <scheme val="minor"/>
      </rPr>
      <t xml:space="preserve"> describes that heterogeneity in purchase rates.</t>
    </r>
  </si>
  <si>
    <r>
      <t xml:space="preserve">When you combine (or </t>
    </r>
    <r>
      <rPr>
        <i/>
        <sz val="11"/>
        <color theme="1"/>
        <rFont val="Calibri"/>
        <family val="2"/>
        <scheme val="minor"/>
      </rPr>
      <t>mix</t>
    </r>
    <r>
      <rPr>
        <sz val="11"/>
        <color theme="1"/>
        <rFont val="Calibri"/>
        <family val="2"/>
        <scheme val="minor"/>
      </rPr>
      <t xml:space="preserve">) the Gamma with a Poisson (for random event counts), you get the </t>
    </r>
    <r>
      <rPr>
        <b/>
        <sz val="11"/>
        <color theme="1"/>
        <rFont val="Calibri"/>
        <family val="2"/>
        <scheme val="minor"/>
      </rPr>
      <t>Negative Binomial Distribution</t>
    </r>
    <r>
      <rPr>
        <sz val="11"/>
        <color theme="1"/>
        <rFont val="Calibri"/>
        <family val="2"/>
        <scheme val="minor"/>
      </rPr>
      <t>.</t>
    </r>
  </si>
  <si>
    <t>2. The role of k — the “Size” or “Dispersion” parameter</t>
  </si>
  <si>
    <r>
      <t xml:space="preserve">The parameter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(sometimes called </t>
    </r>
    <r>
      <rPr>
        <i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or </t>
    </r>
    <r>
      <rPr>
        <i/>
        <sz val="11"/>
        <color theme="1"/>
        <rFont val="Calibri"/>
        <family val="2"/>
        <scheme val="minor"/>
      </rPr>
      <t>shape</t>
    </r>
    <r>
      <rPr>
        <sz val="11"/>
        <color theme="1"/>
        <rFont val="Calibri"/>
        <family val="2"/>
        <scheme val="minor"/>
      </rPr>
      <t xml:space="preserve">) comes from that </t>
    </r>
    <r>
      <rPr>
        <b/>
        <sz val="11"/>
        <color theme="1"/>
        <rFont val="Calibri"/>
        <family val="2"/>
        <scheme val="minor"/>
      </rPr>
      <t>Gamma distribution</t>
    </r>
    <r>
      <rPr>
        <sz val="11"/>
        <color theme="1"/>
        <rFont val="Calibri"/>
        <family val="2"/>
        <scheme val="minor"/>
      </rPr>
      <t xml:space="preserve"> that underlies the NBD.</t>
    </r>
  </si>
  <si>
    <r>
      <t xml:space="preserve">It controls </t>
    </r>
    <r>
      <rPr>
        <b/>
        <sz val="11"/>
        <color theme="1"/>
        <rFont val="Calibri"/>
        <family val="2"/>
        <scheme val="minor"/>
      </rPr>
      <t>how much variation</t>
    </r>
    <r>
      <rPr>
        <sz val="11"/>
        <color theme="1"/>
        <rFont val="Calibri"/>
        <family val="2"/>
        <scheme val="minor"/>
      </rPr>
      <t xml:space="preserve"> there is between people’s purchasing rates.</t>
    </r>
  </si>
  <si>
    <r>
      <t xml:space="preserve">So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is essentially a </t>
    </r>
    <r>
      <rPr>
        <b/>
        <sz val="11"/>
        <color theme="1"/>
        <rFont val="Calibri"/>
        <family val="2"/>
        <scheme val="minor"/>
      </rPr>
      <t>heterogeneity or dispersion parameter</t>
    </r>
    <r>
      <rPr>
        <sz val="11"/>
        <color theme="1"/>
        <rFont val="Calibri"/>
        <family val="2"/>
        <scheme val="minor"/>
      </rPr>
      <t>.</t>
    </r>
  </si>
  <si>
    <t>Here’s what it means in practice:</t>
  </si>
  <si>
    <t>Situation</t>
  </si>
  <si>
    <t>k value</t>
  </si>
  <si>
    <t>Interpretation</t>
  </si>
  <si>
    <t>Large k (say &gt;10)</t>
  </si>
  <si>
    <t>Very little variation between people</t>
  </si>
  <si>
    <t>Everyone buys at about the same rate → distribution looks almost Poisson</t>
  </si>
  <si>
    <t>Small k (say &lt;1)</t>
  </si>
  <si>
    <t>Huge variation between people</t>
  </si>
  <si>
    <t>A few heavy buyers, many light/non-buyers — a “long-tailed” pattern</t>
  </si>
  <si>
    <t>Moderate k (~1–3)</t>
  </si>
  <si>
    <t>Typical marketing scenario</t>
  </si>
  <si>
    <t>Some moderate skew, common in brand purchase and repeat data</t>
  </si>
  <si>
    <t>Mathematically, the variance of the NBD is</t>
  </si>
  <si>
    <t>Var(X)=μ(1+μk)\text{Var}(X) = \mu \left( 1 + \frac{\mu}{k} \right)Var(X)=μ(1+kμ​)</t>
  </si>
  <si>
    <r>
      <t xml:space="preserve">So when </t>
    </r>
    <r>
      <rPr>
        <b/>
        <sz val="11"/>
        <color theme="1"/>
        <rFont val="Calibri"/>
        <family val="2"/>
        <scheme val="minor"/>
      </rPr>
      <t>k is small</t>
    </r>
    <r>
      <rPr>
        <sz val="11"/>
        <color theme="1"/>
        <rFont val="Calibri"/>
        <family val="2"/>
        <scheme val="minor"/>
      </rPr>
      <t xml:space="preserve">, the variance is much bigger than the mean — the data are </t>
    </r>
    <r>
      <rPr>
        <b/>
        <sz val="11"/>
        <color theme="1"/>
        <rFont val="Calibri"/>
        <family val="2"/>
        <scheme val="minor"/>
      </rPr>
      <t>overdispersed</t>
    </r>
    <r>
      <rPr>
        <sz val="11"/>
        <color theme="1"/>
        <rFont val="Calibri"/>
        <family val="2"/>
        <scheme val="minor"/>
      </rPr>
      <t>.</t>
    </r>
  </si>
  <si>
    <t>3. Intuitive analogy</t>
  </si>
  <si>
    <r>
      <t xml:space="preserve">Think of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as a measure of how </t>
    </r>
    <r>
      <rPr>
        <i/>
        <sz val="11"/>
        <color theme="1"/>
        <rFont val="Calibri"/>
        <family val="2"/>
        <scheme val="minor"/>
      </rPr>
      <t>similar or different</t>
    </r>
    <r>
      <rPr>
        <sz val="11"/>
        <color theme="1"/>
        <rFont val="Calibri"/>
        <family val="2"/>
        <scheme val="minor"/>
      </rPr>
      <t xml:space="preserve"> your customers are:</t>
    </r>
  </si>
  <si>
    <r>
      <t>k → ∞</t>
    </r>
    <r>
      <rPr>
        <sz val="11"/>
        <color theme="1"/>
        <rFont val="Calibri"/>
        <family val="2"/>
        <scheme val="minor"/>
      </rPr>
      <t xml:space="preserve"> → everyone behaves the same → pure Poisson world</t>
    </r>
  </si>
  <si>
    <t>(e.g., every person buys 1.2 times per year on average)</t>
  </si>
  <si>
    <r>
      <t>k → 0</t>
    </r>
    <r>
      <rPr>
        <sz val="11"/>
        <color theme="1"/>
        <rFont val="Calibri"/>
        <family val="2"/>
        <scheme val="minor"/>
      </rPr>
      <t xml:space="preserve"> → extreme diversity → most people never buy, a few buy often</t>
    </r>
  </si>
  <si>
    <r>
      <t xml:space="preserve">So </t>
    </r>
    <r>
      <rPr>
        <b/>
        <sz val="11"/>
        <color theme="1"/>
        <rFont val="Calibri"/>
        <family val="2"/>
        <scheme val="minor"/>
      </rPr>
      <t>small k = more inequality in buying frequency</t>
    </r>
    <r>
      <rPr>
        <sz val="11"/>
        <color theme="1"/>
        <rFont val="Calibri"/>
        <family val="2"/>
        <scheme val="minor"/>
      </rPr>
      <t>, which is what we typically observe in real markets.</t>
    </r>
  </si>
  <si>
    <r>
      <t xml:space="preserve">In </t>
    </r>
    <r>
      <rPr>
        <i/>
        <sz val="11"/>
        <color theme="1"/>
        <rFont val="Calibri"/>
        <family val="2"/>
        <scheme val="minor"/>
      </rPr>
      <t>How Brands Grow</t>
    </r>
    <r>
      <rPr>
        <sz val="11"/>
        <color theme="1"/>
        <rFont val="Calibri"/>
        <family val="2"/>
        <scheme val="minor"/>
      </rPr>
      <t xml:space="preserve"> and related work:</t>
    </r>
  </si>
  <si>
    <r>
      <t>μ</t>
    </r>
    <r>
      <rPr>
        <sz val="11"/>
        <color theme="1"/>
        <rFont val="Calibri"/>
        <family val="2"/>
        <scheme val="minor"/>
      </rPr>
      <t xml:space="preserve"> represents the </t>
    </r>
    <r>
      <rPr>
        <i/>
        <sz val="11"/>
        <color theme="1"/>
        <rFont val="Calibri"/>
        <family val="2"/>
        <scheme val="minor"/>
      </rPr>
      <t>average category purchase frequency</t>
    </r>
    <r>
      <rPr>
        <sz val="11"/>
        <color theme="1"/>
        <rFont val="Calibri"/>
        <family val="2"/>
        <scheme val="minor"/>
      </rPr>
      <t xml:space="preserve"> (for the brand or the category).</t>
    </r>
  </si>
  <si>
    <r>
      <t>k</t>
    </r>
    <r>
      <rPr>
        <sz val="11"/>
        <color theme="1"/>
        <rFont val="Calibri"/>
        <family val="2"/>
        <scheme val="minor"/>
      </rPr>
      <t xml:space="preserve"> captures </t>
    </r>
    <r>
      <rPr>
        <i/>
        <sz val="11"/>
        <color theme="1"/>
        <rFont val="Calibri"/>
        <family val="2"/>
        <scheme val="minor"/>
      </rPr>
      <t>buyer heterogeneity</t>
    </r>
    <r>
      <rPr>
        <sz val="11"/>
        <color theme="1"/>
        <rFont val="Calibri"/>
        <family val="2"/>
        <scheme val="minor"/>
      </rPr>
      <t xml:space="preserve"> — differences in propensity to buy.</t>
    </r>
  </si>
  <si>
    <t>Together, they let you model:</t>
  </si>
  <si>
    <r>
      <t xml:space="preserve">the proportion of </t>
    </r>
    <r>
      <rPr>
        <i/>
        <sz val="11"/>
        <color theme="1"/>
        <rFont val="Calibri"/>
        <family val="2"/>
        <scheme val="minor"/>
      </rPr>
      <t>non-buyers</t>
    </r>
    <r>
      <rPr>
        <sz val="11"/>
        <color theme="1"/>
        <rFont val="Calibri"/>
        <family val="2"/>
        <scheme val="minor"/>
      </rPr>
      <t xml:space="preserve"> (P(0))</t>
    </r>
  </si>
  <si>
    <r>
      <t>penetration</t>
    </r>
    <r>
      <rPr>
        <sz val="11"/>
        <color theme="1"/>
        <rFont val="Calibri"/>
        <family val="2"/>
        <scheme val="minor"/>
      </rPr>
      <t xml:space="preserve"> (1−P(0))</t>
    </r>
  </si>
  <si>
    <t>repeat buying rates</t>
  </si>
  <si>
    <t>and patterns like duplication of purchase (when extended to the NBD–Dirichlet model).</t>
  </si>
  <si>
    <r>
      <t xml:space="preserve">Typical empirical values for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are </t>
    </r>
    <r>
      <rPr>
        <b/>
        <sz val="11"/>
        <color theme="1"/>
        <rFont val="Calibri"/>
        <family val="2"/>
        <scheme val="minor"/>
      </rPr>
      <t>0.5–1.5</t>
    </r>
    <r>
      <rPr>
        <sz val="11"/>
        <color theme="1"/>
        <rFont val="Calibri"/>
        <family val="2"/>
        <scheme val="minor"/>
      </rPr>
      <t>, which correspond to highly skewed distributions — many light buyers, few heavy ones.</t>
    </r>
  </si>
  <si>
    <t xml:space="preserve"> 4. In the Ehrenberg–Bass / Byron Sharp context</t>
  </si>
  <si>
    <t>What “Observed zero-class probability (P(0))” means</t>
  </si>
  <si>
    <t>In other words:</t>
  </si>
  <si>
    <r>
      <t>P(0)</t>
    </r>
    <r>
      <rPr>
        <sz val="11"/>
        <color theme="1"/>
        <rFont val="Calibri"/>
        <family val="2"/>
        <scheme val="minor"/>
      </rPr>
      <t xml:space="preserve"> = probability that a randomly chosen person makes </t>
    </r>
    <r>
      <rPr>
        <i/>
        <sz val="11"/>
        <color theme="1"/>
        <rFont val="Calibri"/>
        <family val="2"/>
        <scheme val="minor"/>
      </rPr>
      <t>no purchases at all</t>
    </r>
    <r>
      <rPr>
        <sz val="11"/>
        <color theme="1"/>
        <rFont val="Calibri"/>
        <family val="2"/>
        <scheme val="minor"/>
      </rPr>
      <t xml:space="preserve"> in the period.</t>
    </r>
  </si>
  <si>
    <r>
      <t xml:space="preserve">So in real data, your </t>
    </r>
    <r>
      <rPr>
        <b/>
        <sz val="11"/>
        <color theme="1"/>
        <rFont val="Calibri"/>
        <family val="2"/>
        <scheme val="minor"/>
      </rPr>
      <t>observed P(0)</t>
    </r>
    <r>
      <rPr>
        <sz val="11"/>
        <color theme="1"/>
        <rFont val="Calibri"/>
        <family val="2"/>
        <scheme val="minor"/>
      </rPr>
      <t xml:space="preserve"> is simply the </t>
    </r>
    <r>
      <rPr>
        <b/>
        <sz val="11"/>
        <color theme="1"/>
        <rFont val="Calibri"/>
        <family val="2"/>
        <scheme val="minor"/>
      </rPr>
      <t>proportion of people who did not buy</t>
    </r>
    <r>
      <rPr>
        <sz val="11"/>
        <color theme="1"/>
        <rFont val="Calibri"/>
        <family val="2"/>
        <scheme val="minor"/>
      </rPr>
      <t xml:space="preserve"> (the “non-buyers”).</t>
    </r>
  </si>
  <si>
    <t>Example</t>
  </si>
  <si>
    <t>Suppose you have a customer panel of 10,000 people, and:</t>
  </si>
  <si>
    <t>3,000 bought at least once,</t>
  </si>
  <si>
    <t>7,000 bought nothing in that period.</t>
  </si>
  <si>
    <t>Then:</t>
  </si>
  <si>
    <t>P(0)=700010000=0.7P(0) = \frac{7000}{10000} = 0.7P(0)=100007000​=0.7</t>
  </si>
  <si>
    <t>and</t>
  </si>
  <si>
    <t>Penetration=1−P(0)=0.3\text{Penetration} = 1 - P(0) = 0.3Penetration=1−P(0)=0.3</t>
  </si>
  <si>
    <r>
      <t xml:space="preserve">In the </t>
    </r>
    <r>
      <rPr>
        <b/>
        <sz val="11"/>
        <color theme="1"/>
        <rFont val="Calibri"/>
        <family val="2"/>
        <scheme val="minor"/>
      </rPr>
      <t>Negative Binomial model</t>
    </r>
    <r>
      <rPr>
        <sz val="11"/>
        <color theme="1"/>
        <rFont val="Calibri"/>
        <family val="2"/>
        <scheme val="minor"/>
      </rPr>
      <t xml:space="preserve">, P(0) represents the </t>
    </r>
    <r>
      <rPr>
        <b/>
        <sz val="11"/>
        <color theme="1"/>
        <rFont val="Calibri"/>
        <family val="2"/>
        <scheme val="minor"/>
      </rPr>
      <t>proportion of consumers who make zero purchases</t>
    </r>
    <r>
      <rPr>
        <sz val="11"/>
        <color theme="1"/>
        <rFont val="Calibri"/>
        <family val="2"/>
        <scheme val="minor"/>
      </rPr>
      <t xml:space="preserve"> during a given time period.</t>
    </r>
  </si>
  <si>
    <t>Estimate k in NBD model</t>
  </si>
  <si>
    <r>
      <t xml:space="preserve">Mean per person per period </t>
    </r>
    <r>
      <rPr>
        <b/>
        <i/>
        <sz val="12"/>
        <color theme="1"/>
        <rFont val="Calibri"/>
        <family val="2"/>
        <scheme val="minor"/>
      </rPr>
      <t>(mu)</t>
    </r>
  </si>
  <si>
    <r>
      <rPr>
        <b/>
        <i/>
        <sz val="12"/>
        <color theme="1"/>
        <rFont val="Calibri"/>
        <family val="2"/>
        <scheme val="minor"/>
      </rPr>
      <t>k</t>
    </r>
    <r>
      <rPr>
        <sz val="12"/>
        <color theme="1"/>
        <rFont val="Calibri"/>
        <family val="2"/>
        <scheme val="minor"/>
      </rPr>
      <t xml:space="preserve"> (to solve)</t>
    </r>
  </si>
  <si>
    <t>(Enable macros for this worksheet to function)</t>
  </si>
  <si>
    <r>
      <t xml:space="preserve">Proportion of non-buyers per period </t>
    </r>
    <r>
      <rPr>
        <b/>
        <i/>
        <sz val="12"/>
        <color theme="1"/>
        <rFont val="Calibri"/>
        <family val="2"/>
        <scheme val="minor"/>
      </rPr>
      <t>P(0)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</si>
</sst>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6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164" fontId="1" fillId="4" borderId="0" xfId="0" applyNumberFormat="1" applyFont="1" applyFill="1"/>
    <xf numFmtId="0" fontId="2" fillId="5" borderId="0" xfId="0" applyFont="1" applyFill="1"/>
    <xf numFmtId="0" fontId="0" fillId="5" borderId="0" xfId="0" applyFill="1"/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/>
    <xf numFmtId="0" fontId="3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5" fillId="0" borderId="0" xfId="0" applyFont="1" applyAlignment="1">
      <alignment horizontal="left" vertical="center" indent="2"/>
    </xf>
    <xf numFmtId="0" fontId="6" fillId="0" borderId="0" xfId="0" applyFont="1" applyAlignment="1">
      <alignment vertical="center"/>
    </xf>
    <xf numFmtId="164" fontId="7" fillId="2" borderId="0" xfId="0" applyNumberFormat="1" applyFont="1" applyFill="1" applyProtection="1">
      <protection locked="0"/>
    </xf>
    <xf numFmtId="164" fontId="8" fillId="3" borderId="0" xfId="0" applyNumberFormat="1" applyFont="1" applyFill="1"/>
    <xf numFmtId="164" fontId="7" fillId="2" borderId="1" xfId="0" applyNumberFormat="1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4</xdr:row>
          <xdr:rowOff>38100</xdr:rowOff>
        </xdr:from>
        <xdr:to>
          <xdr:col>3</xdr:col>
          <xdr:colOff>579120</xdr:colOff>
          <xdr:row>5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1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Solve_for_k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0</xdr:col>
      <xdr:colOff>2537460</xdr:colOff>
      <xdr:row>1</xdr:row>
      <xdr:rowOff>40894</xdr:rowOff>
    </xdr:from>
    <xdr:to>
      <xdr:col>2</xdr:col>
      <xdr:colOff>516679</xdr:colOff>
      <xdr:row>1</xdr:row>
      <xdr:rowOff>621197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42B222C-F9F5-A36A-348C-548BC9587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37460" y="40894"/>
          <a:ext cx="1469179" cy="580303"/>
        </a:xfrm>
        <a:prstGeom prst="rect">
          <a:avLst/>
        </a:prstGeom>
      </xdr:spPr>
    </xdr:pic>
    <xdr:clientData/>
  </xdr:twoCellAnchor>
  <xdr:twoCellAnchor>
    <xdr:from>
      <xdr:col>3</xdr:col>
      <xdr:colOff>388620</xdr:colOff>
      <xdr:row>1</xdr:row>
      <xdr:rowOff>297180</xdr:rowOff>
    </xdr:from>
    <xdr:to>
      <xdr:col>7</xdr:col>
      <xdr:colOff>121920</xdr:colOff>
      <xdr:row>3</xdr:row>
      <xdr:rowOff>175260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24709CDE-22EF-C9A1-0BB3-930FFA3CBB77}"/>
            </a:ext>
          </a:extLst>
        </xdr:cNvPr>
        <xdr:cNvSpPr/>
      </xdr:nvSpPr>
      <xdr:spPr>
        <a:xfrm>
          <a:off x="4152900" y="297180"/>
          <a:ext cx="2171700" cy="746760"/>
        </a:xfrm>
        <a:prstGeom prst="wedgeRoundRectCallout">
          <a:avLst>
            <a:gd name="adj1" fmla="val -93464"/>
            <a:gd name="adj2" fmla="val 27168"/>
            <a:gd name="adj3" fmla="val 16667"/>
          </a:avLst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 b="1">
              <a:solidFill>
                <a:schemeClr val="tx1"/>
              </a:solidFill>
            </a:rPr>
            <a:t>Instructions:</a:t>
          </a:r>
          <a:br>
            <a:rPr lang="en-AU" sz="1100">
              <a:solidFill>
                <a:schemeClr val="tx1"/>
              </a:solidFill>
            </a:rPr>
          </a:br>
          <a:r>
            <a:rPr lang="en-AU" sz="1100">
              <a:solidFill>
                <a:schemeClr val="tx1"/>
              </a:solidFill>
            </a:rPr>
            <a:t>Insert values for </a:t>
          </a:r>
          <a:r>
            <a:rPr lang="en-AU" sz="1100" b="1" i="1">
              <a:solidFill>
                <a:schemeClr val="tx1"/>
              </a:solidFill>
            </a:rPr>
            <a:t>mu</a:t>
          </a:r>
          <a:r>
            <a:rPr lang="en-AU" sz="1100">
              <a:solidFill>
                <a:schemeClr val="tx1"/>
              </a:solidFill>
            </a:rPr>
            <a:t> and </a:t>
          </a:r>
          <a:r>
            <a:rPr lang="en-AU" sz="1100" b="1" i="1">
              <a:solidFill>
                <a:schemeClr val="tx1"/>
              </a:solidFill>
            </a:rPr>
            <a:t>P(0)</a:t>
          </a:r>
          <a:br>
            <a:rPr lang="en-AU" sz="1100">
              <a:solidFill>
                <a:schemeClr val="tx1"/>
              </a:solidFill>
            </a:rPr>
          </a:br>
          <a:r>
            <a:rPr lang="en-AU" sz="1100">
              <a:solidFill>
                <a:schemeClr val="tx1"/>
              </a:solidFill>
            </a:rPr>
            <a:t>then hit </a:t>
          </a:r>
          <a:r>
            <a:rPr lang="en-AU" sz="1100" b="1" i="1">
              <a:solidFill>
                <a:schemeClr val="tx1"/>
              </a:solidFill>
            </a:rPr>
            <a:t>&lt;Solve_for_k&gt; </a:t>
          </a:r>
          <a:r>
            <a:rPr lang="en-AU" sz="1100">
              <a:solidFill>
                <a:schemeClr val="tx1"/>
              </a:solidFill>
            </a:rPr>
            <a:t>button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M18"/>
  <sheetViews>
    <sheetView tabSelected="1" workbookViewId="0">
      <selection activeCell="A5" sqref="A5"/>
    </sheetView>
  </sheetViews>
  <sheetFormatPr defaultRowHeight="14.4" x14ac:dyDescent="0.3"/>
  <cols>
    <col min="1" max="1" width="38.88671875" customWidth="1"/>
    <col min="2" max="2" width="12" customWidth="1"/>
  </cols>
  <sheetData>
    <row r="1" spans="1:13" x14ac:dyDescent="0.3">
      <c r="A1" s="6" t="s">
        <v>61</v>
      </c>
      <c r="B1" s="6" t="s">
        <v>64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3" ht="52.8" customHeight="1" x14ac:dyDescent="0.4">
      <c r="A2" s="5" t="s">
        <v>5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3" ht="15.6" x14ac:dyDescent="0.3">
      <c r="A3" s="1" t="s">
        <v>62</v>
      </c>
      <c r="B3" s="18">
        <v>4.25</v>
      </c>
      <c r="C3" s="6"/>
      <c r="D3" s="6"/>
      <c r="E3" s="6"/>
      <c r="F3" s="6"/>
      <c r="G3" s="6"/>
      <c r="H3" s="6"/>
      <c r="I3" s="6"/>
      <c r="J3" s="6"/>
      <c r="K3" s="6"/>
      <c r="L3" s="6"/>
    </row>
    <row r="4" spans="1:13" ht="15.6" x14ac:dyDescent="0.3">
      <c r="A4" s="1" t="s">
        <v>65</v>
      </c>
      <c r="B4" s="20">
        <v>0.3</v>
      </c>
      <c r="C4" s="6"/>
      <c r="D4" s="6"/>
      <c r="E4" s="6"/>
      <c r="F4" s="6"/>
      <c r="G4" s="6"/>
      <c r="H4" s="6"/>
      <c r="I4" s="6"/>
      <c r="J4" s="6"/>
      <c r="K4" s="6"/>
      <c r="L4" s="6"/>
    </row>
    <row r="5" spans="1:13" ht="15.6" x14ac:dyDescent="0.3">
      <c r="A5" s="2" t="s">
        <v>63</v>
      </c>
      <c r="B5" s="19">
        <v>0.56020000000000003</v>
      </c>
      <c r="C5" s="6"/>
      <c r="D5" s="6"/>
      <c r="E5" s="6"/>
      <c r="F5" s="6"/>
      <c r="G5" s="6"/>
      <c r="H5" s="6"/>
      <c r="I5" s="6"/>
      <c r="J5" s="6"/>
      <c r="K5" s="6"/>
      <c r="L5" s="6"/>
    </row>
    <row r="6" spans="1:13" ht="15.6" x14ac:dyDescent="0.3">
      <c r="A6" s="3"/>
      <c r="B6" s="4"/>
      <c r="C6" s="6"/>
      <c r="D6" s="6"/>
      <c r="E6" s="6"/>
      <c r="F6" s="6"/>
      <c r="G6" s="6"/>
      <c r="H6" s="6"/>
      <c r="I6" s="6"/>
      <c r="J6" s="6"/>
      <c r="K6" s="6"/>
      <c r="L6" s="6"/>
    </row>
    <row r="7" spans="1:13" ht="15.6" x14ac:dyDescent="0.3">
      <c r="A7" s="3" t="s">
        <v>0</v>
      </c>
      <c r="B7" s="4">
        <f>(k/(k+mu))^k</f>
        <v>0.29982926454801928</v>
      </c>
      <c r="C7" s="6"/>
      <c r="D7" s="6"/>
      <c r="E7" s="6"/>
      <c r="F7" s="6"/>
      <c r="G7" s="6"/>
      <c r="H7" s="6"/>
      <c r="I7" s="6"/>
      <c r="J7" s="6"/>
      <c r="K7" s="6"/>
      <c r="L7" s="6"/>
    </row>
    <row r="8" spans="1:13" ht="15.6" x14ac:dyDescent="0.3">
      <c r="A8" s="3" t="s">
        <v>1</v>
      </c>
      <c r="B8" s="4">
        <f>B7 - P_0</f>
        <v>-1.7073545198070805E-4</v>
      </c>
      <c r="C8" s="6"/>
      <c r="D8" s="6"/>
      <c r="E8" s="6"/>
      <c r="F8" s="6"/>
      <c r="G8" s="6"/>
      <c r="H8" s="6"/>
      <c r="I8" s="6"/>
      <c r="J8" s="6"/>
      <c r="K8" s="6"/>
      <c r="L8" s="6"/>
    </row>
    <row r="9" spans="1:13" ht="15.6" x14ac:dyDescent="0.3">
      <c r="A9" s="3"/>
      <c r="B9" s="4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3" ht="15.6" x14ac:dyDescent="0.3">
      <c r="A10" s="3" t="s">
        <v>2</v>
      </c>
      <c r="B10" s="4">
        <f>1 - P_0</f>
        <v>0.7</v>
      </c>
      <c r="C10" s="6"/>
      <c r="D10" s="6"/>
      <c r="E10" s="6"/>
      <c r="F10" s="6"/>
      <c r="G10" s="6"/>
      <c r="H10" s="6"/>
      <c r="I10" s="6"/>
      <c r="J10" s="6"/>
      <c r="K10" s="6"/>
      <c r="L10" s="6"/>
    </row>
    <row r="11" spans="1:13" ht="15.6" x14ac:dyDescent="0.3">
      <c r="A11" s="3" t="s">
        <v>3</v>
      </c>
      <c r="B11" s="4">
        <f>1 - B7</f>
        <v>0.70017073545198072</v>
      </c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3" ht="15.6" x14ac:dyDescent="0.3">
      <c r="A12" s="3"/>
      <c r="B12" s="4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3" ht="15.6" x14ac:dyDescent="0.3">
      <c r="A13" s="3" t="s">
        <v>4</v>
      </c>
      <c r="B13" s="4">
        <f>mu * (1 + mu /k)</f>
        <v>36.492948946804709</v>
      </c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3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3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3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lveForK" altText="Solve for k">
                <anchor moveWithCells="1" sizeWithCells="1">
                  <from>
                    <xdr:col>2</xdr:col>
                    <xdr:colOff>144780</xdr:colOff>
                    <xdr:row>4</xdr:row>
                    <xdr:rowOff>38100</xdr:rowOff>
                  </from>
                  <to>
                    <xdr:col>3</xdr:col>
                    <xdr:colOff>579120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4EE4B-CBF9-4DDC-8F2E-CCEF9B01A2D3}">
  <sheetPr codeName="Sheet2"/>
  <dimension ref="B2:D82"/>
  <sheetViews>
    <sheetView topLeftCell="A46" workbookViewId="0">
      <selection activeCell="B1" sqref="B1"/>
    </sheetView>
  </sheetViews>
  <sheetFormatPr defaultRowHeight="14.4" x14ac:dyDescent="0.3"/>
  <cols>
    <col min="2" max="2" width="16.6640625" customWidth="1"/>
    <col min="3" max="3" width="17.88671875" customWidth="1"/>
    <col min="4" max="4" width="36" customWidth="1"/>
  </cols>
  <sheetData>
    <row r="2" spans="2:3" ht="18" x14ac:dyDescent="0.3">
      <c r="B2" s="7" t="s">
        <v>6</v>
      </c>
    </row>
    <row r="4" spans="2:3" x14ac:dyDescent="0.3">
      <c r="B4" t="s">
        <v>7</v>
      </c>
    </row>
    <row r="6" spans="2:3" x14ac:dyDescent="0.3">
      <c r="B6" s="8" t="s">
        <v>8</v>
      </c>
    </row>
    <row r="7" spans="2:3" x14ac:dyDescent="0.3">
      <c r="B7" s="8" t="s">
        <v>9</v>
      </c>
    </row>
    <row r="8" spans="2:3" x14ac:dyDescent="0.3">
      <c r="B8" s="8" t="s">
        <v>10</v>
      </c>
    </row>
    <row r="9" spans="2:3" x14ac:dyDescent="0.3">
      <c r="B9" s="8" t="s">
        <v>11</v>
      </c>
    </row>
    <row r="11" spans="2:3" ht="18" x14ac:dyDescent="0.3">
      <c r="B11" s="7" t="s">
        <v>12</v>
      </c>
    </row>
    <row r="13" spans="2:3" x14ac:dyDescent="0.3">
      <c r="B13" t="s">
        <v>13</v>
      </c>
      <c r="C13" s="13"/>
    </row>
    <row r="14" spans="2:3" x14ac:dyDescent="0.3">
      <c r="B14" s="8"/>
    </row>
    <row r="15" spans="2:3" x14ac:dyDescent="0.3">
      <c r="B15" s="8" t="s">
        <v>14</v>
      </c>
    </row>
    <row r="16" spans="2:3" x14ac:dyDescent="0.3">
      <c r="B16" s="8" t="s">
        <v>15</v>
      </c>
    </row>
    <row r="18" spans="2:4" x14ac:dyDescent="0.3">
      <c r="B18" t="s">
        <v>16</v>
      </c>
    </row>
    <row r="20" spans="2:4" ht="28.8" x14ac:dyDescent="0.3">
      <c r="B20" s="9" t="s">
        <v>17</v>
      </c>
      <c r="C20" s="9" t="s">
        <v>18</v>
      </c>
      <c r="D20" s="9" t="s">
        <v>19</v>
      </c>
    </row>
    <row r="21" spans="2:4" s="12" customFormat="1" ht="40.799999999999997" customHeight="1" x14ac:dyDescent="0.3">
      <c r="B21" s="11" t="s">
        <v>20</v>
      </c>
      <c r="C21" s="10" t="s">
        <v>21</v>
      </c>
      <c r="D21" s="10" t="s">
        <v>22</v>
      </c>
    </row>
    <row r="22" spans="2:4" s="12" customFormat="1" ht="28.8" x14ac:dyDescent="0.3">
      <c r="B22" s="11" t="s">
        <v>23</v>
      </c>
      <c r="C22" s="10" t="s">
        <v>24</v>
      </c>
      <c r="D22" s="10" t="s">
        <v>25</v>
      </c>
    </row>
    <row r="23" spans="2:4" s="12" customFormat="1" ht="28.8" x14ac:dyDescent="0.3">
      <c r="B23" s="11" t="s">
        <v>26</v>
      </c>
      <c r="C23" s="10" t="s">
        <v>27</v>
      </c>
      <c r="D23" s="10" t="s">
        <v>28</v>
      </c>
    </row>
    <row r="25" spans="2:4" x14ac:dyDescent="0.3">
      <c r="B25" t="s">
        <v>29</v>
      </c>
    </row>
    <row r="27" spans="2:4" x14ac:dyDescent="0.3">
      <c r="B27" t="s">
        <v>30</v>
      </c>
    </row>
    <row r="29" spans="2:4" x14ac:dyDescent="0.3">
      <c r="B29" t="s">
        <v>31</v>
      </c>
    </row>
    <row r="31" spans="2:4" ht="18" x14ac:dyDescent="0.3">
      <c r="B31" s="7" t="s">
        <v>32</v>
      </c>
    </row>
    <row r="33" spans="2:2" x14ac:dyDescent="0.3">
      <c r="B33" t="s">
        <v>33</v>
      </c>
    </row>
    <row r="34" spans="2:2" x14ac:dyDescent="0.3">
      <c r="B34" s="8"/>
    </row>
    <row r="35" spans="2:2" x14ac:dyDescent="0.3">
      <c r="B35" s="14" t="s">
        <v>34</v>
      </c>
    </row>
    <row r="36" spans="2:2" x14ac:dyDescent="0.3">
      <c r="B36" s="8" t="s">
        <v>35</v>
      </c>
    </row>
    <row r="37" spans="2:2" x14ac:dyDescent="0.3">
      <c r="B37" s="14" t="s">
        <v>36</v>
      </c>
    </row>
    <row r="39" spans="2:2" x14ac:dyDescent="0.3">
      <c r="B39" t="s">
        <v>37</v>
      </c>
    </row>
    <row r="43" spans="2:2" ht="18" x14ac:dyDescent="0.3">
      <c r="B43" s="7" t="s">
        <v>47</v>
      </c>
    </row>
    <row r="45" spans="2:2" x14ac:dyDescent="0.3">
      <c r="B45" t="s">
        <v>38</v>
      </c>
    </row>
    <row r="46" spans="2:2" x14ac:dyDescent="0.3">
      <c r="B46" s="8"/>
    </row>
    <row r="47" spans="2:2" x14ac:dyDescent="0.3">
      <c r="B47" s="14" t="s">
        <v>39</v>
      </c>
    </row>
    <row r="48" spans="2:2" x14ac:dyDescent="0.3">
      <c r="B48" s="14" t="s">
        <v>40</v>
      </c>
    </row>
    <row r="49" spans="2:2" x14ac:dyDescent="0.3">
      <c r="B49" s="8"/>
    </row>
    <row r="50" spans="2:2" x14ac:dyDescent="0.3">
      <c r="B50" s="8" t="s">
        <v>41</v>
      </c>
    </row>
    <row r="51" spans="2:2" x14ac:dyDescent="0.3">
      <c r="B51" s="8"/>
    </row>
    <row r="52" spans="2:2" x14ac:dyDescent="0.3">
      <c r="B52" s="15" t="s">
        <v>42</v>
      </c>
    </row>
    <row r="53" spans="2:2" x14ac:dyDescent="0.3">
      <c r="B53" s="16" t="s">
        <v>43</v>
      </c>
    </row>
    <row r="54" spans="2:2" x14ac:dyDescent="0.3">
      <c r="B54" s="15" t="s">
        <v>44</v>
      </c>
    </row>
    <row r="55" spans="2:2" x14ac:dyDescent="0.3">
      <c r="B55" s="15" t="s">
        <v>45</v>
      </c>
    </row>
    <row r="57" spans="2:2" x14ac:dyDescent="0.3">
      <c r="B57" t="s">
        <v>46</v>
      </c>
    </row>
    <row r="61" spans="2:2" ht="23.4" x14ac:dyDescent="0.3">
      <c r="B61" s="17" t="s">
        <v>48</v>
      </c>
    </row>
    <row r="63" spans="2:2" x14ac:dyDescent="0.3">
      <c r="B63" t="s">
        <v>60</v>
      </c>
    </row>
    <row r="65" spans="2:2" x14ac:dyDescent="0.3">
      <c r="B65" t="s">
        <v>49</v>
      </c>
    </row>
    <row r="66" spans="2:2" x14ac:dyDescent="0.3">
      <c r="B66" s="14" t="s">
        <v>50</v>
      </c>
    </row>
    <row r="68" spans="2:2" x14ac:dyDescent="0.3">
      <c r="B68" t="s">
        <v>51</v>
      </c>
    </row>
    <row r="70" spans="2:2" ht="18" x14ac:dyDescent="0.3">
      <c r="B70" s="7" t="s">
        <v>52</v>
      </c>
    </row>
    <row r="72" spans="2:2" x14ac:dyDescent="0.3">
      <c r="B72" t="s">
        <v>53</v>
      </c>
    </row>
    <row r="73" spans="2:2" x14ac:dyDescent="0.3">
      <c r="B73" s="8" t="s">
        <v>54</v>
      </c>
    </row>
    <row r="74" spans="2:2" x14ac:dyDescent="0.3">
      <c r="B74" s="8" t="s">
        <v>55</v>
      </c>
    </row>
    <row r="76" spans="2:2" x14ac:dyDescent="0.3">
      <c r="B76" t="s">
        <v>56</v>
      </c>
    </row>
    <row r="78" spans="2:2" x14ac:dyDescent="0.3">
      <c r="B78" t="s">
        <v>57</v>
      </c>
    </row>
    <row r="80" spans="2:2" x14ac:dyDescent="0.3">
      <c r="B80" t="s">
        <v>58</v>
      </c>
    </row>
    <row r="82" spans="2:2" x14ac:dyDescent="0.3">
      <c r="B82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Solve for k</vt:lpstr>
      <vt:lpstr>Explanations</vt:lpstr>
      <vt:lpstr>k</vt:lpstr>
      <vt:lpstr>mu</vt:lpstr>
      <vt:lpstr>P_0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Hume Winzar</dc:creator>
  <cp:lastModifiedBy>Hume Winzar</cp:lastModifiedBy>
  <dcterms:created xsi:type="dcterms:W3CDTF">2015-06-05T18:17:20Z</dcterms:created>
  <dcterms:modified xsi:type="dcterms:W3CDTF">2025-11-10T04:32:39Z</dcterms:modified>
</cp:coreProperties>
</file>