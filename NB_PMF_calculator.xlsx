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483ab89ca3ebfb/Desktop/NBD_for_Amal/"/>
    </mc:Choice>
  </mc:AlternateContent>
  <xr:revisionPtr revIDLastSave="28" documentId="8_{247DD0DE-FC03-4CE9-8BE4-B2AE27B4FBAA}" xr6:coauthVersionLast="47" xr6:coauthVersionMax="47" xr10:uidLastSave="{F79D77B7-718B-46D2-A117-41DBE67DDCE7}"/>
  <bookViews>
    <workbookView xWindow="2112" yWindow="1092" windowWidth="16968" windowHeight="10380" xr2:uid="{00000000-000D-0000-FFFF-FFFF00000000}"/>
  </bookViews>
  <sheets>
    <sheet name="NB_PMF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11" i="1"/>
  <c r="H12" i="1" s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H22" i="1"/>
  <c r="E22" i="1"/>
  <c r="H21" i="1"/>
  <c r="E21" i="1"/>
  <c r="E20" i="1"/>
  <c r="E19" i="1"/>
  <c r="E18" i="1"/>
  <c r="H17" i="1"/>
  <c r="E17" i="1"/>
  <c r="E16" i="1"/>
  <c r="H15" i="1"/>
  <c r="E15" i="1"/>
  <c r="E14" i="1"/>
  <c r="E13" i="1"/>
  <c r="E12" i="1"/>
  <c r="E11" i="1"/>
  <c r="H16" i="1" l="1"/>
  <c r="H14" i="1"/>
  <c r="C11" i="1"/>
  <c r="H11" i="1"/>
  <c r="H20" i="1"/>
  <c r="C12" i="1" l="1"/>
  <c r="D11" i="1"/>
  <c r="C13" i="1" l="1"/>
  <c r="D12" i="1"/>
  <c r="D13" i="1" l="1"/>
  <c r="C14" i="1"/>
  <c r="D14" i="1" l="1"/>
  <c r="C15" i="1"/>
  <c r="D15" i="1" l="1"/>
  <c r="C16" i="1"/>
  <c r="C17" i="1" l="1"/>
  <c r="D16" i="1"/>
  <c r="D17" i="1" l="1"/>
  <c r="C18" i="1"/>
  <c r="D18" i="1" l="1"/>
  <c r="C19" i="1"/>
  <c r="D19" i="1" l="1"/>
  <c r="C20" i="1"/>
  <c r="C21" i="1" l="1"/>
  <c r="D20" i="1"/>
  <c r="D21" i="1" l="1"/>
  <c r="C22" i="1"/>
  <c r="C23" i="1" l="1"/>
  <c r="D22" i="1"/>
  <c r="D23" i="1" l="1"/>
  <c r="C24" i="1"/>
  <c r="C25" i="1" l="1"/>
  <c r="D24" i="1"/>
  <c r="C26" i="1" l="1"/>
  <c r="D25" i="1"/>
  <c r="D26" i="1" l="1"/>
  <c r="C27" i="1"/>
  <c r="D27" i="1" l="1"/>
  <c r="C28" i="1"/>
  <c r="D28" i="1" l="1"/>
  <c r="C29" i="1"/>
  <c r="C30" i="1" l="1"/>
  <c r="D29" i="1"/>
  <c r="C31" i="1" l="1"/>
  <c r="D30" i="1"/>
  <c r="D31" i="1" l="1"/>
  <c r="C32" i="1"/>
  <c r="C33" i="1" l="1"/>
  <c r="D32" i="1"/>
  <c r="D33" i="1" l="1"/>
  <c r="C34" i="1"/>
  <c r="D34" i="1" l="1"/>
  <c r="C35" i="1"/>
  <c r="C36" i="1" l="1"/>
  <c r="D35" i="1"/>
  <c r="D36" i="1" l="1"/>
  <c r="C37" i="1"/>
  <c r="D37" i="1" l="1"/>
  <c r="C38" i="1"/>
  <c r="C39" i="1" l="1"/>
  <c r="D38" i="1"/>
  <c r="D39" i="1" l="1"/>
  <c r="C40" i="1"/>
  <c r="C41" i="1" l="1"/>
  <c r="D40" i="1"/>
  <c r="D41" i="1" l="1"/>
  <c r="C42" i="1"/>
  <c r="C43" i="1" l="1"/>
  <c r="D42" i="1"/>
  <c r="D43" i="1" l="1"/>
  <c r="C44" i="1"/>
  <c r="D44" i="1" l="1"/>
  <c r="C45" i="1"/>
  <c r="C46" i="1" l="1"/>
  <c r="D45" i="1"/>
  <c r="D46" i="1" l="1"/>
  <c r="C47" i="1"/>
  <c r="C48" i="1" l="1"/>
  <c r="D47" i="1"/>
  <c r="D48" i="1" l="1"/>
  <c r="C49" i="1"/>
  <c r="C50" i="1" l="1"/>
  <c r="D49" i="1"/>
  <c r="C51" i="1" l="1"/>
  <c r="D50" i="1"/>
  <c r="D51" i="1" l="1"/>
  <c r="C52" i="1"/>
  <c r="C53" i="1" l="1"/>
  <c r="D52" i="1"/>
  <c r="C54" i="1" l="1"/>
  <c r="D53" i="1"/>
  <c r="C55" i="1" l="1"/>
  <c r="D54" i="1"/>
  <c r="C56" i="1" l="1"/>
  <c r="D55" i="1"/>
  <c r="D56" i="1" l="1"/>
  <c r="C57" i="1"/>
  <c r="C58" i="1" l="1"/>
  <c r="D57" i="1"/>
  <c r="D58" i="1" l="1"/>
  <c r="C59" i="1"/>
  <c r="D59" i="1" l="1"/>
  <c r="C60" i="1"/>
  <c r="C61" i="1" l="1"/>
  <c r="D60" i="1"/>
  <c r="D61" i="1" l="1"/>
  <c r="H13" i="1"/>
</calcChain>
</file>

<file path=xl/sharedStrings.xml><?xml version="1.0" encoding="utf-8"?>
<sst xmlns="http://schemas.openxmlformats.org/spreadsheetml/2006/main" count="30" uniqueCount="28">
  <si>
    <t>Inputs</t>
  </si>
  <si>
    <t>Size / dispersion (k)</t>
  </si>
  <si>
    <t>Market size N (optional)</t>
  </si>
  <si>
    <t>Avg basket value (optional)</t>
  </si>
  <si>
    <t>Notes</t>
  </si>
  <si>
    <t>Poisson–Gamma parameterisation; p = k/(k+μ).</t>
  </si>
  <si>
    <t>PMF via log-gamma: P(X=x) = C(k+x-1, x) * p^k * (1-p)^x</t>
  </si>
  <si>
    <t>x (purchase count)</t>
  </si>
  <si>
    <t>PMF P(X=x)</t>
  </si>
  <si>
    <t>CDF P(X≤x)</t>
  </si>
  <si>
    <t>Tail P(X≥x)</t>
  </si>
  <si>
    <t>x * basket</t>
  </si>
  <si>
    <t>Read-offs</t>
  </si>
  <si>
    <t>Zero class P(X=0)</t>
  </si>
  <si>
    <t>Penetration P(X≥1)</t>
  </si>
  <si>
    <t>Mean from table (approx)</t>
  </si>
  <si>
    <t>Theoretical mean μ</t>
  </si>
  <si>
    <t>Variance from table (approx)</t>
  </si>
  <si>
    <t>Theoretical variance μ(1+μ/k)</t>
  </si>
  <si>
    <t>Roll-ups (using N if provided)</t>
  </si>
  <si>
    <t>Expected buyers (≥1)</t>
  </si>
  <si>
    <t>Expected total transactions</t>
  </si>
  <si>
    <t>Expected revenue (if basket &gt; 0)</t>
  </si>
  <si>
    <t xml:space="preserve">Negative Binomial (μ, k) </t>
  </si>
  <si>
    <t>Mean purchases per person per period (μ)</t>
  </si>
  <si>
    <t>Tail captured by x=0.50</t>
  </si>
  <si>
    <r>
      <t xml:space="preserve">A </t>
    </r>
    <r>
      <rPr>
        <b/>
        <sz val="11"/>
        <color theme="1"/>
        <rFont val="Calibri"/>
        <family val="2"/>
        <scheme val="minor"/>
      </rPr>
      <t>probability mass function</t>
    </r>
    <r>
      <rPr>
        <b/>
        <i/>
        <sz val="11"/>
        <color theme="1"/>
        <rFont val="Calibri"/>
        <family val="2"/>
        <scheme val="minor"/>
      </rPr>
      <t xml:space="preserve"> (PMF)</t>
    </r>
    <r>
      <rPr>
        <sz val="11"/>
        <color theme="1"/>
        <rFont val="Calibri"/>
        <family val="2"/>
        <scheme val="minor"/>
      </rPr>
      <t xml:space="preserve">  gives the probability that a discrete random variable is exactly equal to a specific value</t>
    </r>
  </si>
  <si>
    <t xml:space="preserve"> probability mass function (PMF)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</si>
</sst>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0.000000"/>
    <numFmt numFmtId="167" formatCode="0.0000"/>
    <numFmt numFmtId="168" formatCode="_-[$Rs.-849]* #,##0.00_-;\-[$Rs.-849]* #,##0.00_-;_-[$Rs.-849]* &quot;-&quot;??_-;_-@_-"/>
    <numFmt numFmtId="171" formatCode="_-[$Rs.-849]* #,##0_-;\-[$Rs.-849]* #,##0_-;_-[$Rs.-849]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9" fontId="0" fillId="0" borderId="0" xfId="0" applyNumberFormat="1"/>
    <xf numFmtId="9" fontId="0" fillId="0" borderId="0" xfId="1" applyFont="1"/>
    <xf numFmtId="0" fontId="1" fillId="0" borderId="0" xfId="0" applyFont="1"/>
    <xf numFmtId="0" fontId="0" fillId="3" borderId="0" xfId="0" applyFill="1"/>
    <xf numFmtId="3" fontId="0" fillId="3" borderId="0" xfId="0" applyNumberFormat="1" applyFill="1"/>
    <xf numFmtId="167" fontId="0" fillId="0" borderId="0" xfId="0" applyNumberFormat="1"/>
    <xf numFmtId="168" fontId="0" fillId="3" borderId="0" xfId="0" applyNumberFormat="1" applyFill="1"/>
    <xf numFmtId="171" fontId="0" fillId="0" borderId="0" xfId="0" applyNumberFormat="1"/>
    <xf numFmtId="0" fontId="6" fillId="0" borderId="0" xfId="0" applyFont="1"/>
  </cellXfs>
  <cellStyles count="2">
    <cellStyle name="Normal" xfId="0" builtinId="0"/>
    <cellStyle name="Per cent" xfId="1" builtinId="5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Negative Binomial PMF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PMF: P(X=x)</c:v>
          </c:tx>
          <c:invertIfNegative val="0"/>
          <c:cat>
            <c:numRef>
              <c:f>NB_PMF!$A$11:$A$61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NB_PMF!$B$11:$B$61</c:f>
              <c:numCache>
                <c:formatCode>0.000000</c:formatCode>
                <c:ptCount val="51"/>
                <c:pt idx="0">
                  <c:v>7.8487504588707388E-2</c:v>
                </c:pt>
                <c:pt idx="1">
                  <c:v>9.9984082278608138E-2</c:v>
                </c:pt>
                <c:pt idx="2">
                  <c:v>0.10348670936480142</c:v>
                </c:pt>
                <c:pt idx="3">
                  <c:v>9.8872652259364341E-2</c:v>
                </c:pt>
                <c:pt idx="4">
                  <c:v>9.0528304218367037E-2</c:v>
                </c:pt>
                <c:pt idx="5">
                  <c:v>8.0725876373066177E-2</c:v>
                </c:pt>
                <c:pt idx="6">
                  <c:v>7.0699414020997428E-2</c:v>
                </c:pt>
                <c:pt idx="7">
                  <c:v>6.1114143148268872E-2</c:v>
                </c:pt>
                <c:pt idx="8">
                  <c:v>5.2307089079927503E-2</c:v>
                </c:pt>
                <c:pt idx="9">
                  <c:v>4.4422156331148613E-2</c:v>
                </c:pt>
                <c:pt idx="10">
                  <c:v>3.7490036394122302E-2</c:v>
                </c:pt>
                <c:pt idx="11">
                  <c:v>3.1476869004908647E-2</c:v>
                </c:pt>
                <c:pt idx="12">
                  <c:v>2.6314261508880919E-2</c:v>
                </c:pt>
                <c:pt idx="13">
                  <c:v>2.1917807234246665E-2</c:v>
                </c:pt>
                <c:pt idx="14">
                  <c:v>1.8198361329617749E-2</c:v>
                </c:pt>
                <c:pt idx="15">
                  <c:v>1.5068706833441558E-2</c:v>
                </c:pt>
                <c:pt idx="16">
                  <c:v>1.2447279729057049E-2</c:v>
                </c:pt>
                <c:pt idx="17">
                  <c:v>1.0260028251751837E-2</c:v>
                </c:pt>
                <c:pt idx="18">
                  <c:v>8.4411060457618651E-3</c:v>
                </c:pt>
                <c:pt idx="19">
                  <c:v>6.9328561220637942E-3</c:v>
                </c:pt>
                <c:pt idx="20">
                  <c:v>5.685383603284847E-3</c:v>
                </c:pt>
                <c:pt idx="21">
                  <c:v>4.6559101391777406E-3</c:v>
                </c:pt>
                <c:pt idx="22">
                  <c:v>3.808033046663945E-3</c:v>
                </c:pt>
                <c:pt idx="23">
                  <c:v>3.1109657955298974E-3</c:v>
                </c:pt>
                <c:pt idx="24">
                  <c:v>2.538805685046329E-3</c:v>
                </c:pt>
                <c:pt idx="25">
                  <c:v>2.0698543164709162E-3</c:v>
                </c:pt>
                <c:pt idx="26">
                  <c:v>1.6860033322552053E-3</c:v>
                </c:pt>
                <c:pt idx="27">
                  <c:v>1.3721895485445423E-3</c:v>
                </c:pt>
                <c:pt idx="28">
                  <c:v>1.1159184795374586E-3</c:v>
                </c:pt>
                <c:pt idx="29">
                  <c:v>9.0685226757933682E-4</c:v>
                </c:pt>
                <c:pt idx="30">
                  <c:v>7.3645645933990262E-4</c:v>
                </c:pt>
                <c:pt idx="31">
                  <c:v>5.9769940710757252E-4</c:v>
                </c:pt>
                <c:pt idx="32">
                  <c:v>4.8479798645769166E-4</c:v>
                </c:pt>
                <c:pt idx="33">
                  <c:v>3.930035790623919E-4</c:v>
                </c:pt>
                <c:pt idx="34">
                  <c:v>3.1842272001589902E-4</c:v>
                </c:pt>
                <c:pt idx="35">
                  <c:v>2.5786735287912051E-4</c:v>
                </c:pt>
                <c:pt idx="36">
                  <c:v>2.0873020867338547E-4</c:v>
                </c:pt>
                <c:pt idx="37">
                  <c:v>1.6888138763382948E-4</c:v>
                </c:pt>
                <c:pt idx="38">
                  <c:v>1.3658275148059249E-4</c:v>
                </c:pt>
                <c:pt idx="39">
                  <c:v>1.1041721702253003E-4</c:v>
                </c:pt>
                <c:pt idx="40">
                  <c:v>8.9230473947345696E-5</c:v>
                </c:pt>
                <c:pt idx="41">
                  <c:v>7.2083030064656271E-5</c:v>
                </c:pt>
                <c:pt idx="42">
                  <c:v>5.82108181823321E-5</c:v>
                </c:pt>
                <c:pt idx="43">
                  <c:v>4.6992883882936047E-5</c:v>
                </c:pt>
                <c:pt idx="44">
                  <c:v>3.7924917146407293E-5</c:v>
                </c:pt>
                <c:pt idx="45">
                  <c:v>3.059759769773647E-5</c:v>
                </c:pt>
                <c:pt idx="46">
                  <c:v>2.4678898724637309E-5</c:v>
                </c:pt>
                <c:pt idx="47">
                  <c:v>1.9899640521965939E-5</c:v>
                </c:pt>
                <c:pt idx="48">
                  <c:v>1.6041708621410012E-5</c:v>
                </c:pt>
                <c:pt idx="49">
                  <c:v>1.292845358803338E-5</c:v>
                </c:pt>
                <c:pt idx="50">
                  <c:v>1.0416875024753071E-5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A-4973-903B-D07F301EE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(count)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75000"/>
                  <a:alpha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2293620</xdr:colOff>
      <xdr:row>22</xdr:row>
      <xdr:rowOff>60960</xdr:rowOff>
    </xdr:from>
    <xdr:to>
      <xdr:col>6</xdr:col>
      <xdr:colOff>1356360</xdr:colOff>
      <xdr:row>40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571500</xdr:colOff>
      <xdr:row>1</xdr:row>
      <xdr:rowOff>68580</xdr:rowOff>
    </xdr:from>
    <xdr:to>
      <xdr:col>3</xdr:col>
      <xdr:colOff>1005840</xdr:colOff>
      <xdr:row>4</xdr:row>
      <xdr:rowOff>0</xdr:rowOff>
    </xdr:to>
    <xdr:sp macro="" textlink="">
      <xdr:nvSpPr>
        <xdr:cNvPr id="3" name="Speech Bubble: Rectangle with Corners Rounded 2">
          <a:extLst>
            <a:ext uri="{FF2B5EF4-FFF2-40B4-BE49-F238E27FC236}">
              <a16:creationId xmlns:a16="http://schemas.microsoft.com/office/drawing/2014/main" id="{6484CDB2-D159-A8F4-45C8-9C5E6FD2EFAA}"/>
            </a:ext>
          </a:extLst>
        </xdr:cNvPr>
        <xdr:cNvSpPr/>
      </xdr:nvSpPr>
      <xdr:spPr>
        <a:xfrm>
          <a:off x="3002280" y="297180"/>
          <a:ext cx="1912620" cy="571500"/>
        </a:xfrm>
        <a:prstGeom prst="wedgeRoundRectCallout">
          <a:avLst>
            <a:gd name="adj1" fmla="val -52500"/>
            <a:gd name="adj2" fmla="val 74040"/>
            <a:gd name="adj3" fmla="val 16667"/>
          </a:avLst>
        </a:prstGeom>
        <a:solidFill>
          <a:schemeClr val="accent3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AU" sz="1100"/>
            <a:t>Insert </a:t>
          </a:r>
          <a:r>
            <a:rPr lang="en-AU" sz="1100" b="1" i="1"/>
            <a:t>mu</a:t>
          </a:r>
          <a:r>
            <a:rPr lang="en-AU" sz="1100"/>
            <a:t> and </a:t>
          </a:r>
          <a:r>
            <a:rPr lang="en-AU" sz="1100" b="1" i="1"/>
            <a:t>k</a:t>
          </a:r>
          <a:r>
            <a:rPr lang="en-AU" sz="1100"/>
            <a:t> </a:t>
          </a:r>
          <a:br>
            <a:rPr lang="en-AU" sz="1100"/>
          </a:br>
          <a:r>
            <a:rPr lang="en-AU" sz="1100"/>
            <a:t>(from </a:t>
          </a:r>
          <a:r>
            <a:rPr lang="en-AU" sz="1100" i="1"/>
            <a:t>k-estimator</a:t>
          </a:r>
          <a:r>
            <a:rPr lang="en-AU" sz="1100"/>
            <a:t> if needed)</a:t>
          </a:r>
        </a:p>
      </xdr:txBody>
    </xdr:sp>
    <xdr:clientData/>
  </xdr:twoCellAnchor>
  <xdr:twoCellAnchor>
    <xdr:from>
      <xdr:col>6</xdr:col>
      <xdr:colOff>99060</xdr:colOff>
      <xdr:row>0</xdr:row>
      <xdr:rowOff>91440</xdr:rowOff>
    </xdr:from>
    <xdr:to>
      <xdr:col>7</xdr:col>
      <xdr:colOff>45720</xdr:colOff>
      <xdr:row>3</xdr:row>
      <xdr:rowOff>91440</xdr:rowOff>
    </xdr:to>
    <xdr:sp macro="" textlink="">
      <xdr:nvSpPr>
        <xdr:cNvPr id="4" name="Speech Bubble: Rectangle with Corners Rounded 3">
          <a:extLst>
            <a:ext uri="{FF2B5EF4-FFF2-40B4-BE49-F238E27FC236}">
              <a16:creationId xmlns:a16="http://schemas.microsoft.com/office/drawing/2014/main" id="{3EED9AE9-39C2-4F94-B513-F0454AD8B782}"/>
            </a:ext>
          </a:extLst>
        </xdr:cNvPr>
        <xdr:cNvSpPr/>
      </xdr:nvSpPr>
      <xdr:spPr>
        <a:xfrm>
          <a:off x="6454140" y="91440"/>
          <a:ext cx="1912620" cy="685800"/>
        </a:xfrm>
        <a:prstGeom prst="wedgeRoundRectCallout">
          <a:avLst>
            <a:gd name="adj1" fmla="val -80388"/>
            <a:gd name="adj2" fmla="val 76929"/>
            <a:gd name="adj3" fmla="val 16667"/>
          </a:avLst>
        </a:prstGeom>
        <a:solidFill>
          <a:schemeClr val="accent3">
            <a:lumMod val="20000"/>
            <a:lumOff val="8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AU" sz="1100"/>
            <a:t>Optional inputs:</a:t>
          </a:r>
          <a:br>
            <a:rPr lang="en-AU" sz="1100"/>
          </a:br>
          <a:r>
            <a:rPr lang="en-AU" sz="1100"/>
            <a:t>N = number of buyers</a:t>
          </a:r>
          <a:br>
            <a:rPr lang="en-AU" sz="1100"/>
          </a:br>
          <a:r>
            <a:rPr lang="en-AU" sz="1100"/>
            <a:t>basket value per purchase 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I61"/>
  <sheetViews>
    <sheetView tabSelected="1" workbookViewId="0">
      <selection activeCell="A2" sqref="A2"/>
    </sheetView>
  </sheetViews>
  <sheetFormatPr defaultRowHeight="14.4" x14ac:dyDescent="0.3"/>
  <cols>
    <col min="1" max="1" width="35.44140625" bestFit="1" customWidth="1"/>
    <col min="2" max="2" width="11.109375" customWidth="1"/>
    <col min="3" max="3" width="10.44140625" customWidth="1"/>
    <col min="4" max="4" width="22.77734375" customWidth="1"/>
    <col min="5" max="5" width="10.21875" customWidth="1"/>
    <col min="6" max="6" width="2.6640625" customWidth="1"/>
    <col min="7" max="7" width="28.6640625" customWidth="1"/>
    <col min="8" max="8" width="12.77734375" customWidth="1"/>
    <col min="9" max="9" width="28.6640625" customWidth="1"/>
  </cols>
  <sheetData>
    <row r="1" spans="1:9" ht="18" x14ac:dyDescent="0.35">
      <c r="A1" s="8" t="s">
        <v>23</v>
      </c>
      <c r="B1" s="14" t="s">
        <v>27</v>
      </c>
      <c r="C1" s="8"/>
      <c r="D1" s="8"/>
      <c r="E1" s="8"/>
      <c r="F1" s="8"/>
      <c r="G1" s="8"/>
      <c r="H1" s="8"/>
      <c r="I1" s="8"/>
    </row>
    <row r="2" spans="1:9" ht="18" x14ac:dyDescent="0.35">
      <c r="A2" s="8"/>
      <c r="B2" s="14"/>
      <c r="C2" s="8"/>
      <c r="D2" s="8"/>
      <c r="E2" s="8"/>
      <c r="F2" s="8"/>
      <c r="G2" s="8"/>
      <c r="H2" s="8"/>
      <c r="I2" s="8"/>
    </row>
    <row r="3" spans="1:9" ht="18" x14ac:dyDescent="0.35">
      <c r="A3" s="8"/>
      <c r="B3" s="14"/>
      <c r="C3" s="8"/>
      <c r="D3" s="8"/>
      <c r="E3" s="8"/>
      <c r="F3" s="8"/>
      <c r="G3" s="8"/>
      <c r="H3" s="8"/>
      <c r="I3" s="8"/>
    </row>
    <row r="5" spans="1:9" x14ac:dyDescent="0.3">
      <c r="A5" s="1" t="s">
        <v>0</v>
      </c>
      <c r="G5" s="1" t="s">
        <v>4</v>
      </c>
    </row>
    <row r="6" spans="1:9" x14ac:dyDescent="0.3">
      <c r="A6" s="9" t="s">
        <v>24</v>
      </c>
      <c r="B6" s="9">
        <v>6.25</v>
      </c>
      <c r="D6" s="9" t="s">
        <v>2</v>
      </c>
      <c r="E6" s="10">
        <v>100000</v>
      </c>
      <c r="G6" s="2" t="s">
        <v>5</v>
      </c>
    </row>
    <row r="7" spans="1:9" x14ac:dyDescent="0.3">
      <c r="A7" s="9" t="s">
        <v>1</v>
      </c>
      <c r="B7" s="9">
        <v>1.6</v>
      </c>
      <c r="D7" s="9" t="s">
        <v>3</v>
      </c>
      <c r="E7" s="12">
        <v>1</v>
      </c>
      <c r="G7" s="2" t="s">
        <v>6</v>
      </c>
    </row>
    <row r="10" spans="1:9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G10" s="1" t="s">
        <v>12</v>
      </c>
    </row>
    <row r="11" spans="1:9" x14ac:dyDescent="0.3">
      <c r="A11">
        <v>0</v>
      </c>
      <c r="B11" s="4">
        <f>EXP(GAMMALN(A11+$B$7)-GAMMALN($B$7)-GAMMALN(A11+1) + $B$7*LN($B$7/($B$7+$B$6)) + A11*LN($B$6/($B$7+$B$6)))</f>
        <v>7.8487504588707388E-2</v>
      </c>
      <c r="C11" s="4">
        <f>B11</f>
        <v>7.8487504588707388E-2</v>
      </c>
      <c r="D11" s="4">
        <f t="shared" ref="D11:D42" si="0">1-C11</f>
        <v>0.92151249541129265</v>
      </c>
      <c r="E11" s="3">
        <f t="shared" ref="E11:E42" si="1">A11*$E$7</f>
        <v>0</v>
      </c>
      <c r="G11" t="s">
        <v>13</v>
      </c>
      <c r="H11" s="7">
        <f>B11</f>
        <v>7.8487504588707388E-2</v>
      </c>
    </row>
    <row r="12" spans="1:9" x14ac:dyDescent="0.3">
      <c r="A12">
        <v>1</v>
      </c>
      <c r="B12" s="4">
        <f t="shared" ref="B12:B61" si="2">EXP(GAMMALN(A12+$B$7)-GAMMALN($B$7)-GAMMALN(A12+1) + $B$7*LN($B$7/($B$7+$B$6)) + A12*LN($B$6/($B$7+$B$6)))</f>
        <v>9.9984082278608138E-2</v>
      </c>
      <c r="C12" s="4">
        <f t="shared" ref="C12:C43" si="3">C11+B12</f>
        <v>0.17847158686731551</v>
      </c>
      <c r="D12" s="4">
        <f t="shared" si="0"/>
        <v>0.82152841313268454</v>
      </c>
      <c r="E12" s="3">
        <f t="shared" si="1"/>
        <v>1</v>
      </c>
      <c r="G12" t="s">
        <v>14</v>
      </c>
      <c r="H12" s="6">
        <f>1-B11</f>
        <v>0.92151249541129265</v>
      </c>
    </row>
    <row r="13" spans="1:9" x14ac:dyDescent="0.3">
      <c r="A13">
        <v>2</v>
      </c>
      <c r="B13" s="4">
        <f t="shared" si="2"/>
        <v>0.10348670936480142</v>
      </c>
      <c r="C13" s="4">
        <f t="shared" si="3"/>
        <v>0.28195829623211693</v>
      </c>
      <c r="D13" s="4">
        <f t="shared" si="0"/>
        <v>0.71804170376788301</v>
      </c>
      <c r="E13" s="3">
        <f t="shared" si="1"/>
        <v>2</v>
      </c>
      <c r="G13" t="s">
        <v>25</v>
      </c>
      <c r="H13" s="6">
        <f>C61</f>
        <v>0.99995702469827497</v>
      </c>
    </row>
    <row r="14" spans="1:9" x14ac:dyDescent="0.3">
      <c r="A14">
        <v>3</v>
      </c>
      <c r="B14" s="4">
        <f t="shared" si="2"/>
        <v>9.8872652259364341E-2</v>
      </c>
      <c r="C14" s="4">
        <f t="shared" si="3"/>
        <v>0.38083094849148125</v>
      </c>
      <c r="D14" s="4">
        <f t="shared" si="0"/>
        <v>0.61916905150851875</v>
      </c>
      <c r="E14" s="3">
        <f t="shared" si="1"/>
        <v>3</v>
      </c>
      <c r="G14" t="s">
        <v>15</v>
      </c>
      <c r="H14" s="11">
        <f>SUMPRODUCT(A11:A61,B11:B61)</f>
        <v>6.2476317529920466</v>
      </c>
    </row>
    <row r="15" spans="1:9" x14ac:dyDescent="0.3">
      <c r="A15">
        <v>4</v>
      </c>
      <c r="B15" s="4">
        <f t="shared" si="2"/>
        <v>9.0528304218367037E-2</v>
      </c>
      <c r="C15" s="4">
        <f t="shared" si="3"/>
        <v>0.4713592527098483</v>
      </c>
      <c r="D15" s="4">
        <f t="shared" si="0"/>
        <v>0.52864074729015176</v>
      </c>
      <c r="E15" s="3">
        <f t="shared" si="1"/>
        <v>4</v>
      </c>
      <c r="G15" t="s">
        <v>16</v>
      </c>
      <c r="H15" s="11">
        <f>B6</f>
        <v>6.25</v>
      </c>
    </row>
    <row r="16" spans="1:9" x14ac:dyDescent="0.3">
      <c r="A16">
        <v>5</v>
      </c>
      <c r="B16" s="4">
        <f t="shared" si="2"/>
        <v>8.0725876373066177E-2</v>
      </c>
      <c r="C16" s="4">
        <f t="shared" si="3"/>
        <v>0.55208512908291452</v>
      </c>
      <c r="D16" s="4">
        <f t="shared" si="0"/>
        <v>0.44791487091708548</v>
      </c>
      <c r="E16" s="3">
        <f t="shared" si="1"/>
        <v>5</v>
      </c>
      <c r="G16" t="s">
        <v>17</v>
      </c>
      <c r="H16" s="11">
        <f>SUMPRODUCT((A11:A61-H15)^2,B11:B61)</f>
        <v>30.56058354058456</v>
      </c>
    </row>
    <row r="17" spans="1:8" x14ac:dyDescent="0.3">
      <c r="A17">
        <v>6</v>
      </c>
      <c r="B17" s="4">
        <f t="shared" si="2"/>
        <v>7.0699414020997428E-2</v>
      </c>
      <c r="C17" s="4">
        <f t="shared" si="3"/>
        <v>0.62278454310391196</v>
      </c>
      <c r="D17" s="4">
        <f t="shared" si="0"/>
        <v>0.37721545689608804</v>
      </c>
      <c r="E17" s="3">
        <f t="shared" si="1"/>
        <v>6</v>
      </c>
      <c r="G17" t="s">
        <v>18</v>
      </c>
      <c r="H17" s="11">
        <f>B6*(1+B6/B7)</f>
        <v>30.6640625</v>
      </c>
    </row>
    <row r="18" spans="1:8" x14ac:dyDescent="0.3">
      <c r="A18">
        <v>7</v>
      </c>
      <c r="B18" s="4">
        <f t="shared" si="2"/>
        <v>6.1114143148268872E-2</v>
      </c>
      <c r="C18" s="4">
        <f t="shared" si="3"/>
        <v>0.68389868625218087</v>
      </c>
      <c r="D18" s="4">
        <f t="shared" si="0"/>
        <v>0.31610131374781913</v>
      </c>
      <c r="E18" s="3">
        <f t="shared" si="1"/>
        <v>7</v>
      </c>
    </row>
    <row r="19" spans="1:8" x14ac:dyDescent="0.3">
      <c r="A19">
        <v>8</v>
      </c>
      <c r="B19" s="4">
        <f t="shared" si="2"/>
        <v>5.2307089079927503E-2</v>
      </c>
      <c r="C19" s="4">
        <f t="shared" si="3"/>
        <v>0.7362057753321084</v>
      </c>
      <c r="D19" s="4">
        <f t="shared" si="0"/>
        <v>0.2637942246678916</v>
      </c>
      <c r="E19" s="3">
        <f t="shared" si="1"/>
        <v>8</v>
      </c>
      <c r="G19" s="1" t="s">
        <v>19</v>
      </c>
    </row>
    <row r="20" spans="1:8" x14ac:dyDescent="0.3">
      <c r="A20">
        <v>9</v>
      </c>
      <c r="B20" s="4">
        <f t="shared" si="2"/>
        <v>4.4422156331148613E-2</v>
      </c>
      <c r="C20" s="4">
        <f t="shared" si="3"/>
        <v>0.78062793166325706</v>
      </c>
      <c r="D20" s="4">
        <f t="shared" si="0"/>
        <v>0.21937206833674294</v>
      </c>
      <c r="E20" s="3">
        <f t="shared" si="1"/>
        <v>9</v>
      </c>
      <c r="G20" t="s">
        <v>20</v>
      </c>
      <c r="H20" s="5">
        <f>IF($E$6&gt;0, $E$6*(1-B11), "")</f>
        <v>92151.249541129262</v>
      </c>
    </row>
    <row r="21" spans="1:8" x14ac:dyDescent="0.3">
      <c r="A21">
        <v>10</v>
      </c>
      <c r="B21" s="4">
        <f t="shared" si="2"/>
        <v>3.7490036394122302E-2</v>
      </c>
      <c r="C21" s="4">
        <f t="shared" si="3"/>
        <v>0.81811796805737935</v>
      </c>
      <c r="D21" s="4">
        <f t="shared" si="0"/>
        <v>0.18188203194262065</v>
      </c>
      <c r="E21" s="3">
        <f t="shared" si="1"/>
        <v>10</v>
      </c>
      <c r="G21" t="s">
        <v>21</v>
      </c>
      <c r="H21" s="5">
        <f>IF($E$6&gt;0, $E$6*$B$6, "")</f>
        <v>625000</v>
      </c>
    </row>
    <row r="22" spans="1:8" x14ac:dyDescent="0.3">
      <c r="A22">
        <v>11</v>
      </c>
      <c r="B22" s="4">
        <f t="shared" si="2"/>
        <v>3.1476869004908647E-2</v>
      </c>
      <c r="C22" s="4">
        <f t="shared" si="3"/>
        <v>0.849594837062288</v>
      </c>
      <c r="D22" s="4">
        <f t="shared" si="0"/>
        <v>0.150405162937712</v>
      </c>
      <c r="E22" s="3">
        <f t="shared" si="1"/>
        <v>11</v>
      </c>
      <c r="G22" t="s">
        <v>22</v>
      </c>
      <c r="H22" s="13">
        <f>IF(AND($E$6&gt;0,$E$7&gt;0), $E$6*$B$6*$E$7, "")</f>
        <v>625000</v>
      </c>
    </row>
    <row r="23" spans="1:8" x14ac:dyDescent="0.3">
      <c r="A23">
        <v>12</v>
      </c>
      <c r="B23" s="4">
        <f t="shared" si="2"/>
        <v>2.6314261508880919E-2</v>
      </c>
      <c r="C23" s="4">
        <f t="shared" si="3"/>
        <v>0.87590909857116894</v>
      </c>
      <c r="D23" s="4">
        <f t="shared" si="0"/>
        <v>0.12409090142883106</v>
      </c>
      <c r="E23" s="3">
        <f t="shared" si="1"/>
        <v>12</v>
      </c>
    </row>
    <row r="24" spans="1:8" x14ac:dyDescent="0.3">
      <c r="A24">
        <v>13</v>
      </c>
      <c r="B24" s="4">
        <f t="shared" si="2"/>
        <v>2.1917807234246665E-2</v>
      </c>
      <c r="C24" s="4">
        <f t="shared" si="3"/>
        <v>0.89782690580541558</v>
      </c>
      <c r="D24" s="4">
        <f t="shared" si="0"/>
        <v>0.10217309419458442</v>
      </c>
      <c r="E24" s="3">
        <f t="shared" si="1"/>
        <v>13</v>
      </c>
    </row>
    <row r="25" spans="1:8" x14ac:dyDescent="0.3">
      <c r="A25">
        <v>14</v>
      </c>
      <c r="B25" s="4">
        <f t="shared" si="2"/>
        <v>1.8198361329617749E-2</v>
      </c>
      <c r="C25" s="4">
        <f t="shared" si="3"/>
        <v>0.91602526713503329</v>
      </c>
      <c r="D25" s="4">
        <f t="shared" si="0"/>
        <v>8.3974732864966706E-2</v>
      </c>
      <c r="E25" s="3">
        <f t="shared" si="1"/>
        <v>14</v>
      </c>
    </row>
    <row r="26" spans="1:8" x14ac:dyDescent="0.3">
      <c r="A26">
        <v>15</v>
      </c>
      <c r="B26" s="4">
        <f t="shared" si="2"/>
        <v>1.5068706833441558E-2</v>
      </c>
      <c r="C26" s="4">
        <f t="shared" si="3"/>
        <v>0.93109397396847482</v>
      </c>
      <c r="D26" s="4">
        <f t="shared" si="0"/>
        <v>6.890602603152518E-2</v>
      </c>
      <c r="E26" s="3">
        <f t="shared" si="1"/>
        <v>15</v>
      </c>
    </row>
    <row r="27" spans="1:8" x14ac:dyDescent="0.3">
      <c r="A27">
        <v>16</v>
      </c>
      <c r="B27" s="4">
        <f t="shared" si="2"/>
        <v>1.2447279729057049E-2</v>
      </c>
      <c r="C27" s="4">
        <f t="shared" si="3"/>
        <v>0.94354125369753183</v>
      </c>
      <c r="D27" s="4">
        <f t="shared" si="0"/>
        <v>5.6458746302468166E-2</v>
      </c>
      <c r="E27" s="3">
        <f t="shared" si="1"/>
        <v>16</v>
      </c>
    </row>
    <row r="28" spans="1:8" x14ac:dyDescent="0.3">
      <c r="A28">
        <v>17</v>
      </c>
      <c r="B28" s="4">
        <f t="shared" si="2"/>
        <v>1.0260028251751837E-2</v>
      </c>
      <c r="C28" s="4">
        <f t="shared" si="3"/>
        <v>0.95380128194928371</v>
      </c>
      <c r="D28" s="4">
        <f t="shared" si="0"/>
        <v>4.6198718050716292E-2</v>
      </c>
      <c r="E28" s="3">
        <f t="shared" si="1"/>
        <v>17</v>
      </c>
    </row>
    <row r="29" spans="1:8" x14ac:dyDescent="0.3">
      <c r="A29">
        <v>18</v>
      </c>
      <c r="B29" s="4">
        <f t="shared" si="2"/>
        <v>8.4411060457618651E-3</v>
      </c>
      <c r="C29" s="4">
        <f t="shared" si="3"/>
        <v>0.96224238799504558</v>
      </c>
      <c r="D29" s="4">
        <f t="shared" si="0"/>
        <v>3.7757612004954422E-2</v>
      </c>
      <c r="E29" s="3">
        <f t="shared" si="1"/>
        <v>18</v>
      </c>
    </row>
    <row r="30" spans="1:8" x14ac:dyDescent="0.3">
      <c r="A30">
        <v>19</v>
      </c>
      <c r="B30" s="4">
        <f t="shared" si="2"/>
        <v>6.9328561220637942E-3</v>
      </c>
      <c r="C30" s="4">
        <f t="shared" si="3"/>
        <v>0.96917524411710942</v>
      </c>
      <c r="D30" s="4">
        <f t="shared" si="0"/>
        <v>3.0824755882890575E-2</v>
      </c>
      <c r="E30" s="3">
        <f t="shared" si="1"/>
        <v>19</v>
      </c>
    </row>
    <row r="31" spans="1:8" x14ac:dyDescent="0.3">
      <c r="A31">
        <v>20</v>
      </c>
      <c r="B31" s="4">
        <f t="shared" si="2"/>
        <v>5.685383603284847E-3</v>
      </c>
      <c r="C31" s="4">
        <f t="shared" si="3"/>
        <v>0.97486062772039428</v>
      </c>
      <c r="D31" s="4">
        <f t="shared" si="0"/>
        <v>2.5139372279605721E-2</v>
      </c>
      <c r="E31" s="3">
        <f t="shared" si="1"/>
        <v>20</v>
      </c>
    </row>
    <row r="32" spans="1:8" x14ac:dyDescent="0.3">
      <c r="A32">
        <v>21</v>
      </c>
      <c r="B32" s="4">
        <f t="shared" si="2"/>
        <v>4.6559101391777406E-3</v>
      </c>
      <c r="C32" s="4">
        <f t="shared" si="3"/>
        <v>0.97951653785957205</v>
      </c>
      <c r="D32" s="4">
        <f t="shared" si="0"/>
        <v>2.0483462140427955E-2</v>
      </c>
      <c r="E32" s="3">
        <f t="shared" si="1"/>
        <v>21</v>
      </c>
    </row>
    <row r="33" spans="1:5" x14ac:dyDescent="0.3">
      <c r="A33">
        <v>22</v>
      </c>
      <c r="B33" s="4">
        <f t="shared" si="2"/>
        <v>3.808033046663945E-3</v>
      </c>
      <c r="C33" s="4">
        <f t="shared" si="3"/>
        <v>0.98332457090623604</v>
      </c>
      <c r="D33" s="4">
        <f t="shared" si="0"/>
        <v>1.667542909376396E-2</v>
      </c>
      <c r="E33" s="3">
        <f t="shared" si="1"/>
        <v>22</v>
      </c>
    </row>
    <row r="34" spans="1:5" x14ac:dyDescent="0.3">
      <c r="A34">
        <v>23</v>
      </c>
      <c r="B34" s="4">
        <f t="shared" si="2"/>
        <v>3.1109657955298974E-3</v>
      </c>
      <c r="C34" s="4">
        <f t="shared" si="3"/>
        <v>0.98643553670176598</v>
      </c>
      <c r="D34" s="4">
        <f t="shared" si="0"/>
        <v>1.356446329823402E-2</v>
      </c>
      <c r="E34" s="3">
        <f t="shared" si="1"/>
        <v>23</v>
      </c>
    </row>
    <row r="35" spans="1:5" x14ac:dyDescent="0.3">
      <c r="A35">
        <v>24</v>
      </c>
      <c r="B35" s="4">
        <f t="shared" si="2"/>
        <v>2.538805685046329E-3</v>
      </c>
      <c r="C35" s="4">
        <f t="shared" si="3"/>
        <v>0.98897434238681226</v>
      </c>
      <c r="D35" s="4">
        <f t="shared" si="0"/>
        <v>1.1025657613187745E-2</v>
      </c>
      <c r="E35" s="3">
        <f t="shared" si="1"/>
        <v>24</v>
      </c>
    </row>
    <row r="36" spans="1:5" x14ac:dyDescent="0.3">
      <c r="A36">
        <v>25</v>
      </c>
      <c r="B36" s="4">
        <f t="shared" si="2"/>
        <v>2.0698543164709162E-3</v>
      </c>
      <c r="C36" s="4">
        <f t="shared" si="3"/>
        <v>0.99104419670328314</v>
      </c>
      <c r="D36" s="4">
        <f t="shared" si="0"/>
        <v>8.9558032967168577E-3</v>
      </c>
      <c r="E36" s="3">
        <f t="shared" si="1"/>
        <v>25</v>
      </c>
    </row>
    <row r="37" spans="1:5" x14ac:dyDescent="0.3">
      <c r="A37">
        <v>26</v>
      </c>
      <c r="B37" s="4">
        <f t="shared" si="2"/>
        <v>1.6860033322552053E-3</v>
      </c>
      <c r="C37" s="4">
        <f t="shared" si="3"/>
        <v>0.99273020003553836</v>
      </c>
      <c r="D37" s="4">
        <f t="shared" si="0"/>
        <v>7.2697999644616429E-3</v>
      </c>
      <c r="E37" s="3">
        <f t="shared" si="1"/>
        <v>26</v>
      </c>
    </row>
    <row r="38" spans="1:5" x14ac:dyDescent="0.3">
      <c r="A38">
        <v>27</v>
      </c>
      <c r="B38" s="4">
        <f t="shared" si="2"/>
        <v>1.3721895485445423E-3</v>
      </c>
      <c r="C38" s="4">
        <f t="shared" si="3"/>
        <v>0.99410238958408292</v>
      </c>
      <c r="D38" s="4">
        <f t="shared" si="0"/>
        <v>5.8976104159170761E-3</v>
      </c>
      <c r="E38" s="3">
        <f t="shared" si="1"/>
        <v>27</v>
      </c>
    </row>
    <row r="39" spans="1:5" x14ac:dyDescent="0.3">
      <c r="A39">
        <v>28</v>
      </c>
      <c r="B39" s="4">
        <f t="shared" si="2"/>
        <v>1.1159184795374586E-3</v>
      </c>
      <c r="C39" s="4">
        <f t="shared" si="3"/>
        <v>0.99521830806362033</v>
      </c>
      <c r="D39" s="4">
        <f t="shared" si="0"/>
        <v>4.7816919363796728E-3</v>
      </c>
      <c r="E39" s="3">
        <f t="shared" si="1"/>
        <v>28</v>
      </c>
    </row>
    <row r="40" spans="1:5" x14ac:dyDescent="0.3">
      <c r="A40">
        <v>29</v>
      </c>
      <c r="B40" s="4">
        <f t="shared" si="2"/>
        <v>9.0685226757933682E-4</v>
      </c>
      <c r="C40" s="4">
        <f t="shared" si="3"/>
        <v>0.99612516033119969</v>
      </c>
      <c r="D40" s="4">
        <f t="shared" si="0"/>
        <v>3.8748396688003117E-3</v>
      </c>
      <c r="E40" s="3">
        <f t="shared" si="1"/>
        <v>29</v>
      </c>
    </row>
    <row r="41" spans="1:5" x14ac:dyDescent="0.3">
      <c r="A41">
        <v>30</v>
      </c>
      <c r="B41" s="4">
        <f t="shared" si="2"/>
        <v>7.3645645933990262E-4</v>
      </c>
      <c r="C41" s="4">
        <f t="shared" si="3"/>
        <v>0.99686161679053964</v>
      </c>
      <c r="D41" s="4">
        <f t="shared" si="0"/>
        <v>3.1383832094603603E-3</v>
      </c>
      <c r="E41" s="3">
        <f t="shared" si="1"/>
        <v>30</v>
      </c>
    </row>
    <row r="42" spans="1:5" x14ac:dyDescent="0.3">
      <c r="A42">
        <v>31</v>
      </c>
      <c r="B42" s="4">
        <f t="shared" si="2"/>
        <v>5.9769940710757252E-4</v>
      </c>
      <c r="C42" s="4">
        <f t="shared" si="3"/>
        <v>0.99745931619764716</v>
      </c>
      <c r="D42" s="4">
        <f t="shared" si="0"/>
        <v>2.5406838023528389E-3</v>
      </c>
      <c r="E42" s="3">
        <f t="shared" si="1"/>
        <v>31</v>
      </c>
    </row>
    <row r="43" spans="1:5" x14ac:dyDescent="0.3">
      <c r="A43">
        <v>32</v>
      </c>
      <c r="B43" s="4">
        <f t="shared" si="2"/>
        <v>4.8479798645769166E-4</v>
      </c>
      <c r="C43" s="4">
        <f t="shared" si="3"/>
        <v>0.99794411418410489</v>
      </c>
      <c r="D43" s="4">
        <f t="shared" ref="D43:D61" si="4">1-C43</f>
        <v>2.0558858158951088E-3</v>
      </c>
      <c r="E43" s="3">
        <f t="shared" ref="E43:E61" si="5">A43*$E$7</f>
        <v>32</v>
      </c>
    </row>
    <row r="44" spans="1:5" x14ac:dyDescent="0.3">
      <c r="A44">
        <v>33</v>
      </c>
      <c r="B44" s="4">
        <f t="shared" si="2"/>
        <v>3.930035790623919E-4</v>
      </c>
      <c r="C44" s="4">
        <f t="shared" ref="C44:C61" si="6">C43+B44</f>
        <v>0.99833711776316725</v>
      </c>
      <c r="D44" s="4">
        <f t="shared" si="4"/>
        <v>1.6628822368327523E-3</v>
      </c>
      <c r="E44" s="3">
        <f t="shared" si="5"/>
        <v>33</v>
      </c>
    </row>
    <row r="45" spans="1:5" x14ac:dyDescent="0.3">
      <c r="A45">
        <v>34</v>
      </c>
      <c r="B45" s="4">
        <f t="shared" si="2"/>
        <v>3.1842272001589902E-4</v>
      </c>
      <c r="C45" s="4">
        <f t="shared" si="6"/>
        <v>0.99865554048318317</v>
      </c>
      <c r="D45" s="4">
        <f t="shared" si="4"/>
        <v>1.3444595168168316E-3</v>
      </c>
      <c r="E45" s="3">
        <f t="shared" si="5"/>
        <v>34</v>
      </c>
    </row>
    <row r="46" spans="1:5" x14ac:dyDescent="0.3">
      <c r="A46">
        <v>35</v>
      </c>
      <c r="B46" s="4">
        <f t="shared" si="2"/>
        <v>2.5786735287912051E-4</v>
      </c>
      <c r="C46" s="4">
        <f t="shared" si="6"/>
        <v>0.99891340783606231</v>
      </c>
      <c r="D46" s="4">
        <f t="shared" si="4"/>
        <v>1.0865921639376941E-3</v>
      </c>
      <c r="E46" s="3">
        <f t="shared" si="5"/>
        <v>35</v>
      </c>
    </row>
    <row r="47" spans="1:5" x14ac:dyDescent="0.3">
      <c r="A47">
        <v>36</v>
      </c>
      <c r="B47" s="4">
        <f t="shared" si="2"/>
        <v>2.0873020867338547E-4</v>
      </c>
      <c r="C47" s="4">
        <f t="shared" si="6"/>
        <v>0.99912213804473571</v>
      </c>
      <c r="D47" s="4">
        <f t="shared" si="4"/>
        <v>8.7786195526429189E-4</v>
      </c>
      <c r="E47" s="3">
        <f t="shared" si="5"/>
        <v>36</v>
      </c>
    </row>
    <row r="48" spans="1:5" x14ac:dyDescent="0.3">
      <c r="A48">
        <v>37</v>
      </c>
      <c r="B48" s="4">
        <f t="shared" si="2"/>
        <v>1.6888138763382948E-4</v>
      </c>
      <c r="C48" s="4">
        <f t="shared" si="6"/>
        <v>0.99929101943236953</v>
      </c>
      <c r="D48" s="4">
        <f t="shared" si="4"/>
        <v>7.0898056763046835E-4</v>
      </c>
      <c r="E48" s="3">
        <f t="shared" si="5"/>
        <v>37</v>
      </c>
    </row>
    <row r="49" spans="1:5" x14ac:dyDescent="0.3">
      <c r="A49">
        <v>38</v>
      </c>
      <c r="B49" s="4">
        <f t="shared" si="2"/>
        <v>1.3658275148059249E-4</v>
      </c>
      <c r="C49" s="4">
        <f t="shared" si="6"/>
        <v>0.99942760218385007</v>
      </c>
      <c r="D49" s="4">
        <f t="shared" si="4"/>
        <v>5.7239781614992769E-4</v>
      </c>
      <c r="E49" s="3">
        <f t="shared" si="5"/>
        <v>38</v>
      </c>
    </row>
    <row r="50" spans="1:5" x14ac:dyDescent="0.3">
      <c r="A50">
        <v>39</v>
      </c>
      <c r="B50" s="4">
        <f t="shared" si="2"/>
        <v>1.1041721702253003E-4</v>
      </c>
      <c r="C50" s="4">
        <f t="shared" si="6"/>
        <v>0.99953801940087261</v>
      </c>
      <c r="D50" s="4">
        <f t="shared" si="4"/>
        <v>4.6198059912738731E-4</v>
      </c>
      <c r="E50" s="3">
        <f t="shared" si="5"/>
        <v>39</v>
      </c>
    </row>
    <row r="51" spans="1:5" x14ac:dyDescent="0.3">
      <c r="A51">
        <v>40</v>
      </c>
      <c r="B51" s="4">
        <f t="shared" si="2"/>
        <v>8.9230473947345696E-5</v>
      </c>
      <c r="C51" s="4">
        <f t="shared" si="6"/>
        <v>0.99962724987481999</v>
      </c>
      <c r="D51" s="4">
        <f t="shared" si="4"/>
        <v>3.7275012518001027E-4</v>
      </c>
      <c r="E51" s="3">
        <f t="shared" si="5"/>
        <v>40</v>
      </c>
    </row>
    <row r="52" spans="1:5" x14ac:dyDescent="0.3">
      <c r="A52">
        <v>41</v>
      </c>
      <c r="B52" s="4">
        <f t="shared" si="2"/>
        <v>7.2083030064656271E-5</v>
      </c>
      <c r="C52" s="4">
        <f t="shared" si="6"/>
        <v>0.99969933290488466</v>
      </c>
      <c r="D52" s="4">
        <f t="shared" si="4"/>
        <v>3.0066709511533674E-4</v>
      </c>
      <c r="E52" s="3">
        <f t="shared" si="5"/>
        <v>41</v>
      </c>
    </row>
    <row r="53" spans="1:5" x14ac:dyDescent="0.3">
      <c r="A53">
        <v>42</v>
      </c>
      <c r="B53" s="4">
        <f t="shared" si="2"/>
        <v>5.82108181823321E-5</v>
      </c>
      <c r="C53" s="4">
        <f t="shared" si="6"/>
        <v>0.99975754372306702</v>
      </c>
      <c r="D53" s="4">
        <f t="shared" si="4"/>
        <v>2.4245627693297855E-4</v>
      </c>
      <c r="E53" s="3">
        <f t="shared" si="5"/>
        <v>42</v>
      </c>
    </row>
    <row r="54" spans="1:5" x14ac:dyDescent="0.3">
      <c r="A54">
        <v>43</v>
      </c>
      <c r="B54" s="4">
        <f t="shared" si="2"/>
        <v>4.6992883882936047E-5</v>
      </c>
      <c r="C54" s="4">
        <f t="shared" si="6"/>
        <v>0.99980453660695001</v>
      </c>
      <c r="D54" s="4">
        <f t="shared" si="4"/>
        <v>1.9546339304998828E-4</v>
      </c>
      <c r="E54" s="3">
        <f t="shared" si="5"/>
        <v>43</v>
      </c>
    </row>
    <row r="55" spans="1:5" x14ac:dyDescent="0.3">
      <c r="A55">
        <v>44</v>
      </c>
      <c r="B55" s="4">
        <f t="shared" si="2"/>
        <v>3.7924917146407293E-5</v>
      </c>
      <c r="C55" s="4">
        <f t="shared" si="6"/>
        <v>0.99984246152409639</v>
      </c>
      <c r="D55" s="4">
        <f t="shared" si="4"/>
        <v>1.5753847590360692E-4</v>
      </c>
      <c r="E55" s="3">
        <f t="shared" si="5"/>
        <v>44</v>
      </c>
    </row>
    <row r="56" spans="1:5" x14ac:dyDescent="0.3">
      <c r="A56">
        <v>45</v>
      </c>
      <c r="B56" s="4">
        <f t="shared" si="2"/>
        <v>3.059759769773647E-5</v>
      </c>
      <c r="C56" s="4">
        <f t="shared" si="6"/>
        <v>0.99987305912179414</v>
      </c>
      <c r="D56" s="4">
        <f t="shared" si="4"/>
        <v>1.269408782058612E-4</v>
      </c>
      <c r="E56" s="3">
        <f t="shared" si="5"/>
        <v>45</v>
      </c>
    </row>
    <row r="57" spans="1:5" x14ac:dyDescent="0.3">
      <c r="A57">
        <v>46</v>
      </c>
      <c r="B57" s="4">
        <f t="shared" si="2"/>
        <v>2.4678898724637309E-5</v>
      </c>
      <c r="C57" s="4">
        <f t="shared" si="6"/>
        <v>0.99989773802051873</v>
      </c>
      <c r="D57" s="4">
        <f t="shared" si="4"/>
        <v>1.0226197948126625E-4</v>
      </c>
      <c r="E57" s="3">
        <f t="shared" si="5"/>
        <v>46</v>
      </c>
    </row>
    <row r="58" spans="1:5" x14ac:dyDescent="0.3">
      <c r="A58">
        <v>47</v>
      </c>
      <c r="B58" s="4">
        <f t="shared" si="2"/>
        <v>1.9899640521965939E-5</v>
      </c>
      <c r="C58" s="4">
        <f t="shared" si="6"/>
        <v>0.99991763766104069</v>
      </c>
      <c r="D58" s="4">
        <f t="shared" si="4"/>
        <v>8.2362338959307557E-5</v>
      </c>
      <c r="E58" s="3">
        <f t="shared" si="5"/>
        <v>47</v>
      </c>
    </row>
    <row r="59" spans="1:5" x14ac:dyDescent="0.3">
      <c r="A59">
        <v>48</v>
      </c>
      <c r="B59" s="4">
        <f t="shared" si="2"/>
        <v>1.6041708621410012E-5</v>
      </c>
      <c r="C59" s="4">
        <f t="shared" si="6"/>
        <v>0.99993367936966215</v>
      </c>
      <c r="D59" s="4">
        <f t="shared" si="4"/>
        <v>6.6320630337846076E-5</v>
      </c>
      <c r="E59" s="3">
        <f t="shared" si="5"/>
        <v>48</v>
      </c>
    </row>
    <row r="60" spans="1:5" x14ac:dyDescent="0.3">
      <c r="A60">
        <v>49</v>
      </c>
      <c r="B60" s="4">
        <f t="shared" si="2"/>
        <v>1.292845358803338E-5</v>
      </c>
      <c r="C60" s="4">
        <f t="shared" si="6"/>
        <v>0.99994660782325018</v>
      </c>
      <c r="D60" s="4">
        <f t="shared" si="4"/>
        <v>5.339217674982244E-5</v>
      </c>
      <c r="E60" s="3">
        <f t="shared" si="5"/>
        <v>49</v>
      </c>
    </row>
    <row r="61" spans="1:5" x14ac:dyDescent="0.3">
      <c r="A61">
        <v>50</v>
      </c>
      <c r="B61" s="4">
        <f t="shared" si="2"/>
        <v>1.0416875024753071E-5</v>
      </c>
      <c r="C61" s="4">
        <f t="shared" si="6"/>
        <v>0.99995702469827497</v>
      </c>
      <c r="D61" s="4">
        <f t="shared" si="4"/>
        <v>4.2975301725034498E-5</v>
      </c>
      <c r="E61" s="3">
        <f t="shared" si="5"/>
        <v>50</v>
      </c>
    </row>
  </sheetData>
  <conditionalFormatting sqref="A6:B7">
    <cfRule type="notContainsBlanks" dxfId="1" priority="1">
      <formula>LEN(TRIM(A6))&gt;0</formula>
    </cfRule>
  </conditionalFormatting>
  <conditionalFormatting sqref="D6:E7">
    <cfRule type="notContainsBlanks" dxfId="0" priority="2">
      <formula>LEN(TRIM(D6))&gt;0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6BE4-E63A-4BB6-B149-084425067E43}">
  <sheetPr>
    <tabColor theme="9" tint="0.59999389629810485"/>
  </sheetPr>
  <dimension ref="B2:B5"/>
  <sheetViews>
    <sheetView workbookViewId="0">
      <selection activeCell="C27" sqref="C27"/>
    </sheetView>
  </sheetViews>
  <sheetFormatPr defaultRowHeight="14.4" x14ac:dyDescent="0.3"/>
  <sheetData>
    <row r="2" spans="2:2" x14ac:dyDescent="0.3">
      <c r="B2" t="s">
        <v>26</v>
      </c>
    </row>
    <row r="4" spans="2:2" x14ac:dyDescent="0.3">
      <c r="B4" s="2" t="s">
        <v>5</v>
      </c>
    </row>
    <row r="5" spans="2:2" x14ac:dyDescent="0.3">
      <c r="B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NB_PMF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Hume Winzar</cp:lastModifiedBy>
  <dcterms:created xsi:type="dcterms:W3CDTF">2025-10-20T05:44:33Z</dcterms:created>
  <dcterms:modified xsi:type="dcterms:W3CDTF">2025-11-10T05:11:55Z</dcterms:modified>
</cp:coreProperties>
</file>